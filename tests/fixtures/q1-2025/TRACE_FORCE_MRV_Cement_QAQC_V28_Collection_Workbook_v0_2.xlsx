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ell\OneDrive\Desktop\EGYTRACE\كيما\Demo party\MRV2\standard AMS\QC-QA\AJ SMART\CEM-MRV\"/>
    </mc:Choice>
  </mc:AlternateContent>
  <xr:revisionPtr revIDLastSave="0" documentId="8_{DB4EBAC5-B087-42FD-919E-A0EA93C8E449}" xr6:coauthVersionLast="44" xr6:coauthVersionMax="44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00_README_Control" sheetId="1" r:id="rId1"/>
    <sheet name="01_Setup" sheetId="2" r:id="rId2"/>
    <sheet name="02_DCS_Boundary_Map" sheetId="3" r:id="rId3"/>
    <sheet name="03_Production_Input" sheetId="4" r:id="rId4"/>
    <sheet name="04_Raw_Material_Input" sheetId="5" r:id="rId5"/>
    <sheet name="05_Kiln_Fuel_Input" sheetId="6" r:id="rId6"/>
    <sheet name="06_Electricity_Input" sheetId="7" r:id="rId7"/>
    <sheet name="07_Constants_EF_NCV" sheetId="8" r:id="rId8"/>
    <sheet name="08_Calculations" sheetId="9" r:id="rId9"/>
    <sheet name="09_QAQC_Checks" sheetId="10" r:id="rId10"/>
    <sheet name="10_Report_Outputs" sheetId="11" r:id="rId11"/>
    <sheet name="11_Evidence_Register" sheetId="12" r:id="rId12"/>
    <sheet name="12_Regulatory_Refs" sheetId="13" r:id="rId13"/>
    <sheet name="13_Dashboard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4" i="14" l="1"/>
  <c r="B23" i="11"/>
  <c r="B22" i="11"/>
  <c r="B21" i="11"/>
  <c r="B7" i="11"/>
  <c r="B6" i="11"/>
  <c r="B5" i="11"/>
  <c r="B4" i="11"/>
  <c r="F17" i="10"/>
  <c r="E17" i="10"/>
  <c r="E16" i="10"/>
  <c r="F16" i="10" s="1"/>
  <c r="E14" i="10"/>
  <c r="F14" i="10" s="1"/>
  <c r="F13" i="10"/>
  <c r="E13" i="10"/>
  <c r="E12" i="10"/>
  <c r="F12" i="10" s="1"/>
  <c r="F11" i="10"/>
  <c r="E11" i="10"/>
  <c r="E10" i="10"/>
  <c r="F10" i="10" s="1"/>
  <c r="F9" i="10"/>
  <c r="E9" i="10"/>
  <c r="E6" i="10"/>
  <c r="F6" i="10" s="1"/>
  <c r="B34" i="9"/>
  <c r="B33" i="9"/>
  <c r="B31" i="9"/>
  <c r="C20" i="9"/>
  <c r="C14" i="9"/>
  <c r="B15" i="11" s="1"/>
  <c r="C6" i="9"/>
  <c r="C7" i="9" s="1"/>
  <c r="C5" i="9"/>
  <c r="E5" i="10" s="1"/>
  <c r="F5" i="10" s="1"/>
  <c r="C4" i="9"/>
  <c r="C19" i="9" s="1"/>
  <c r="H6" i="7"/>
  <c r="E6" i="7"/>
  <c r="H5" i="7"/>
  <c r="E5" i="7"/>
  <c r="H4" i="7"/>
  <c r="E4" i="7"/>
  <c r="C15" i="9" s="1"/>
  <c r="M7" i="6"/>
  <c r="L7" i="6"/>
  <c r="K7" i="6"/>
  <c r="J7" i="6"/>
  <c r="I7" i="6"/>
  <c r="J6" i="6"/>
  <c r="K6" i="6" s="1"/>
  <c r="I6" i="6"/>
  <c r="J5" i="6"/>
  <c r="K5" i="6" s="1"/>
  <c r="I5" i="6"/>
  <c r="M4" i="6"/>
  <c r="L4" i="6"/>
  <c r="K4" i="6"/>
  <c r="J4" i="6"/>
  <c r="I4" i="6"/>
  <c r="I6" i="5"/>
  <c r="H6" i="5"/>
  <c r="J6" i="5" s="1"/>
  <c r="I5" i="5"/>
  <c r="J5" i="5" s="1"/>
  <c r="H5" i="5"/>
  <c r="I4" i="5"/>
  <c r="H4" i="5"/>
  <c r="J4" i="5" s="1"/>
  <c r="C8" i="9" s="1"/>
  <c r="K6" i="4"/>
  <c r="K5" i="4"/>
  <c r="K4" i="4"/>
  <c r="M6" i="6" l="1"/>
  <c r="L6" i="6"/>
  <c r="M5" i="6"/>
  <c r="C12" i="9" s="1"/>
  <c r="B13" i="11" s="1"/>
  <c r="L5" i="6"/>
  <c r="C11" i="9" s="1"/>
  <c r="G17" i="14"/>
  <c r="B17" i="14"/>
  <c r="B16" i="11"/>
  <c r="D9" i="14" s="1"/>
  <c r="B10" i="11"/>
  <c r="J4" i="14" s="1"/>
  <c r="E4" i="10"/>
  <c r="F4" i="10" s="1"/>
  <c r="B8" i="11"/>
  <c r="D4" i="14" s="1"/>
  <c r="C9" i="9"/>
  <c r="C10" i="9" s="1"/>
  <c r="B9" i="11"/>
  <c r="G4" i="14" s="1"/>
  <c r="B16" i="14" l="1"/>
  <c r="B12" i="11"/>
  <c r="G16" i="14"/>
  <c r="B11" i="11"/>
  <c r="C13" i="9"/>
  <c r="E15" i="10"/>
  <c r="F15" i="10" s="1"/>
  <c r="G15" i="14"/>
  <c r="B15" i="14"/>
  <c r="C17" i="9" l="1"/>
  <c r="C16" i="9"/>
  <c r="B14" i="11"/>
  <c r="A9" i="14" s="1"/>
  <c r="B18" i="11" l="1"/>
  <c r="E7" i="10"/>
  <c r="F7" i="10" s="1"/>
  <c r="B18" i="14"/>
  <c r="B17" i="11"/>
  <c r="G9" i="14" s="1"/>
  <c r="C18" i="9"/>
  <c r="H17" i="14"/>
  <c r="I17" i="14" s="1"/>
  <c r="H15" i="14"/>
  <c r="I15" i="14" s="1"/>
  <c r="H16" i="14"/>
  <c r="I16" i="14" s="1"/>
  <c r="B19" i="11" l="1"/>
  <c r="J9" i="14" s="1"/>
  <c r="E8" i="10"/>
  <c r="F8" i="10" s="1"/>
  <c r="B19" i="14"/>
  <c r="C21" i="9"/>
  <c r="B20" i="11" l="1"/>
  <c r="B20" i="14"/>
</calcChain>
</file>

<file path=xl/sharedStrings.xml><?xml version="1.0" encoding="utf-8"?>
<sst xmlns="http://schemas.openxmlformats.org/spreadsheetml/2006/main" count="1270" uniqueCount="685">
  <si>
    <t>TRACE FORCE MRV — Cement QA/QC V28-style Collection Workbook</t>
  </si>
  <si>
    <t>Demo-controlled workbook schema for cement / clinker CBAM-GHG MRV. Designed to feed the TRACE FORCE MRV Cement module.</t>
  </si>
  <si>
    <t>Control</t>
  </si>
  <si>
    <t>Value</t>
  </si>
  <si>
    <t>Governance note</t>
  </si>
  <si>
    <t>Workbook Version</t>
  </si>
  <si>
    <t>v0.2</t>
  </si>
  <si>
    <t>V0.2 adds: CKD field, TSR metric, stockpile tracking, moisture governance, 18 QA/QC checks, WHR placeholder.</t>
  </si>
  <si>
    <t>Status</t>
  </si>
  <si>
    <t>DEMO / NOT CLIENT DATA</t>
  </si>
  <si>
    <t>Operational-looking dataset for workflow validation only. Not externally verified and not suitable for submission.</t>
  </si>
  <si>
    <t>Sector</t>
  </si>
  <si>
    <t>Cement / Clinker</t>
  </si>
  <si>
    <t>Clinker is treated as cement precursor; no NH3 or fertilizer logic is used.</t>
  </si>
  <si>
    <t>Primary Product</t>
  </si>
  <si>
    <t>CEM II/A-L 42.5N</t>
  </si>
  <si>
    <t>Demo product selection with clinker factor and cement production boundary.</t>
  </si>
  <si>
    <t>Regulatory posture</t>
  </si>
  <si>
    <t>CBAM / EU ETS / ISO 14064-aligned structure</t>
  </si>
  <si>
    <t>Workbook supports data collection and calculation discipline; it does not claim TAXUD submission.</t>
  </si>
  <si>
    <t>Calculation chain</t>
  </si>
  <si>
    <t>DCS Boundary → Inputs → Constants → Calculations → QA/QC → Report Outputs</t>
  </si>
  <si>
    <t>Designed so Codex can map system pages to sheet names without inventing schema.</t>
  </si>
  <si>
    <t>Important control</t>
  </si>
  <si>
    <t>Missing values are not silently converted to zero</t>
  </si>
  <si>
    <t>QA/QC flags missing EF, NCV, production, electricity, evidence and period mismatches.</t>
  </si>
  <si>
    <t>Do not use this demo workbook as actual plant data. Replace all demo activity data, factors, evidence IDs and DCS tags with governed client data before any verifier-facing use.</t>
  </si>
  <si>
    <t>Clinker Factor definition</t>
  </si>
  <si>
    <t>Clinker Content Ratio = Clinker Used / Cement Produced</t>
  </si>
  <si>
    <t>Per CBAM Annex guidance. Clinker Produced may differ from Clinker Used due to stockpile changes.</t>
  </si>
  <si>
    <t>Moisture governance</t>
  </si>
  <si>
    <t>Moisture % recorded for traceability; CaCO3/MgCO3 % are on dry basis</t>
  </si>
  <si>
    <t>CaCO3% and MgCO3% already exclude moisture. Moisture column is for lab evidence only.</t>
  </si>
  <si>
    <t>CKD correction</t>
  </si>
  <si>
    <t>CKD field added to DCS boundary; set to 0 in demo (fully recycled)</t>
  </si>
  <si>
    <t>If CKD leaves kiln boundary, subtract uncalcined portion from Process CO2.</t>
  </si>
  <si>
    <t>Setup and Reporting Control</t>
  </si>
  <si>
    <t>Site, period, product and selected calculation methodology.</t>
  </si>
  <si>
    <t>Parameter</t>
  </si>
  <si>
    <t>Unit</t>
  </si>
  <si>
    <t>Required?</t>
  </si>
  <si>
    <t>Notes</t>
  </si>
  <si>
    <t>Governance owner</t>
  </si>
  <si>
    <t>Workbook mode</t>
  </si>
  <si>
    <t>Cement_QAQC_V28_Demo</t>
  </si>
  <si>
    <t>Yes</t>
  </si>
  <si>
    <t>Used by TRACE FORCE MRV to detect cement workbook mode.</t>
  </si>
  <si>
    <t>EgyTrace</t>
  </si>
  <si>
    <t>Installation / site</t>
  </si>
  <si>
    <t>Demo Cement Plant - Egypt</t>
  </si>
  <si>
    <t>Replace with real plant name before client use.</t>
  </si>
  <si>
    <t>Plant</t>
  </si>
  <si>
    <t>Country</t>
  </si>
  <si>
    <t>Egypt</t>
  </si>
  <si>
    <t>Used for grid EF and CBAM country context.</t>
  </si>
  <si>
    <t>Reporting quarter</t>
  </si>
  <si>
    <t>Q1 2025</t>
  </si>
  <si>
    <t>Selected period lock.</t>
  </si>
  <si>
    <t>Sustainability</t>
  </si>
  <si>
    <t>Period start</t>
  </si>
  <si>
    <t>date</t>
  </si>
  <si>
    <t>Inclusive start date.</t>
  </si>
  <si>
    <t>Period end</t>
  </si>
  <si>
    <t>Inclusive end date.</t>
  </si>
  <si>
    <t>Primary product</t>
  </si>
  <si>
    <t>Demo cement type.</t>
  </si>
  <si>
    <t>Production</t>
  </si>
  <si>
    <t>Boundary approach</t>
  </si>
  <si>
    <t>Operational control</t>
  </si>
  <si>
    <t>Organization boundary assumption.</t>
  </si>
  <si>
    <t>Selected calcination method</t>
  </si>
  <si>
    <t>Method B - clinker output</t>
  </si>
  <si>
    <t>Method A input-based available; Method B selected for clean demo output.</t>
  </si>
  <si>
    <t>Assurance status</t>
  </si>
  <si>
    <t>Prepared for internal review - not externally verified</t>
  </si>
  <si>
    <t>No external verification claim.</t>
  </si>
  <si>
    <t>Submission status</t>
  </si>
  <si>
    <t>Not submitted</t>
  </si>
  <si>
    <t>No TAXUD / CBAM Registry finality.</t>
  </si>
  <si>
    <t>CKD correction applied</t>
  </si>
  <si>
    <t>No</t>
  </si>
  <si>
    <t>CKD fully recycled in demo. Set Yes if CKD leaves the kiln boundary.</t>
  </si>
  <si>
    <t>DCS / ERP / Lab Boundary Map</t>
  </si>
  <si>
    <t>Maps plant source systems to governed MRV fields and required evidence.</t>
  </si>
  <si>
    <t>Boundary Area</t>
  </si>
  <si>
    <t>Source System</t>
  </si>
  <si>
    <t>DCS/ERP/Lab Tag</t>
  </si>
  <si>
    <t>MRV Field</t>
  </si>
  <si>
    <t>Frequency</t>
  </si>
  <si>
    <t>Evidence Required</t>
  </si>
  <si>
    <t>Calculation Use</t>
  </si>
  <si>
    <t>Mapped Status</t>
  </si>
  <si>
    <t>Owner</t>
  </si>
  <si>
    <t>QA/QC Rule</t>
  </si>
  <si>
    <t>Kiln DCS / Weighbridge</t>
  </si>
  <si>
    <t>KILN1_CLINKER_T_DAY</t>
  </si>
  <si>
    <t>Clinker Produced</t>
  </si>
  <si>
    <t>t/day</t>
  </si>
  <si>
    <t>Daily</t>
  </si>
  <si>
    <t>Kiln production log / weighbridge</t>
  </si>
  <si>
    <t>Production_Input</t>
  </si>
  <si>
    <t>Mapped</t>
  </si>
  <si>
    <t>No negative; period locked</t>
  </si>
  <si>
    <t>ERP / Dispatch</t>
  </si>
  <si>
    <t>CEM_MILL1_OUTPUT_T_DAY</t>
  </si>
  <si>
    <t>Cement Produced</t>
  </si>
  <si>
    <t>Cement mill / dispatch report</t>
  </si>
  <si>
    <t>Cement &gt;= clinker used</t>
  </si>
  <si>
    <t>ERP / Mill records</t>
  </si>
  <si>
    <t>CLINKER_USED_CEM_T_DAY</t>
  </si>
  <si>
    <t>Clinker Used in Cement</t>
  </si>
  <si>
    <t>Cement mill material balance</t>
  </si>
  <si>
    <t>Clinker factor 0.25–1.00</t>
  </si>
  <si>
    <t>Additives</t>
  </si>
  <si>
    <t>ERP / Lab</t>
  </si>
  <si>
    <t>GYPSUM_ADDED_T_DAY</t>
  </si>
  <si>
    <t>Gypsum Added</t>
  </si>
  <si>
    <t>Additive weighbridge</t>
  </si>
  <si>
    <t>Mass balance</t>
  </si>
  <si>
    <t>LIMESTONE_ADD_T_DAY</t>
  </si>
  <si>
    <t>Limestone Additive</t>
  </si>
  <si>
    <t>Additive weighbridge / lab</t>
  </si>
  <si>
    <t>Raw materials</t>
  </si>
  <si>
    <t>LIMS</t>
  </si>
  <si>
    <t>RAWMEAL_CACO3_PCT</t>
  </si>
  <si>
    <t>CaCO3 Content</t>
  </si>
  <si>
    <t>%</t>
  </si>
  <si>
    <t>Daily/Batch</t>
  </si>
  <si>
    <t>Raw meal / limestone lab certificate</t>
  </si>
  <si>
    <t>Raw_Material_Input</t>
  </si>
  <si>
    <t>Lab</t>
  </si>
  <si>
    <t>0–100%</t>
  </si>
  <si>
    <t>RAWMEAL_MGCO3_PCT</t>
  </si>
  <si>
    <t>MgCO3 Content</t>
  </si>
  <si>
    <t>Fuel</t>
  </si>
  <si>
    <t>Weigh feeder</t>
  </si>
  <si>
    <t>PETCOKE_FEED_T_DAY</t>
  </si>
  <si>
    <t>Petcoke Quantity</t>
  </si>
  <si>
    <t>Fuel weigh feeder / invoice</t>
  </si>
  <si>
    <t>Kiln_Fuel_Input</t>
  </si>
  <si>
    <t>Energy</t>
  </si>
  <si>
    <t>Qty &gt;= 0</t>
  </si>
  <si>
    <t>COAL_FEED_T_DAY</t>
  </si>
  <si>
    <t>Coal Quantity</t>
  </si>
  <si>
    <t>Alternative fuel system</t>
  </si>
  <si>
    <t>RDF_FEED_T_DAY</t>
  </si>
  <si>
    <t>RDF Quantity</t>
  </si>
  <si>
    <t>Alternative fuel log / contract</t>
  </si>
  <si>
    <t>Biomass fraction required</t>
  </si>
  <si>
    <t>Lab / certificate</t>
  </si>
  <si>
    <t>FUEL_NCV_GJ_T</t>
  </si>
  <si>
    <t>Fuel NCV</t>
  </si>
  <si>
    <t>GJ/t</t>
  </si>
  <si>
    <t>Batch/Monthly</t>
  </si>
  <si>
    <t>Fuel lab certificate</t>
  </si>
  <si>
    <t>Constants_EF_NCV</t>
  </si>
  <si>
    <t>NCV &gt; 0</t>
  </si>
  <si>
    <t>Regulatory factors</t>
  </si>
  <si>
    <t>FUEL_EF_TCO2_TJ</t>
  </si>
  <si>
    <t>Fuel EF</t>
  </si>
  <si>
    <t>tCO2/TJ</t>
  </si>
  <si>
    <t>Annual/Controlled</t>
  </si>
  <si>
    <t>Approved factor source</t>
  </si>
  <si>
    <t>EF &gt; 0</t>
  </si>
  <si>
    <t>Electricity</t>
  </si>
  <si>
    <t>Utility meter</t>
  </si>
  <si>
    <t>GRID_MWH_MONTH</t>
  </si>
  <si>
    <t>Purchased Grid Electricity</t>
  </si>
  <si>
    <t>MWh</t>
  </si>
  <si>
    <t>Monthly</t>
  </si>
  <si>
    <t>Electricity bill / meter export</t>
  </si>
  <si>
    <t>Electricity_Input</t>
  </si>
  <si>
    <t>Utilities</t>
  </si>
  <si>
    <t>MWh &gt;= 0</t>
  </si>
  <si>
    <t>Controlled factors</t>
  </si>
  <si>
    <t>GRID_EF_EGYPT</t>
  </si>
  <si>
    <t>Grid EF</t>
  </si>
  <si>
    <t>tCO2/MWh</t>
  </si>
  <si>
    <t>Approved grid EF source</t>
  </si>
  <si>
    <t>Evidence</t>
  </si>
  <si>
    <t>Document register</t>
  </si>
  <si>
    <t>EVIDENCE_ID</t>
  </si>
  <si>
    <t>Evidence ID</t>
  </si>
  <si>
    <t>text</t>
  </si>
  <si>
    <t>Continuous</t>
  </si>
  <si>
    <t>File reference / reviewer status</t>
  </si>
  <si>
    <t>Evidence_Register</t>
  </si>
  <si>
    <t>QA/QC</t>
  </si>
  <si>
    <t>Every material value has evidence ID</t>
  </si>
  <si>
    <t>Assurance</t>
  </si>
  <si>
    <t>Internal MRV registry</t>
  </si>
  <si>
    <t>TRACE_TOKEN_ID</t>
  </si>
  <si>
    <t>Guardian Token</t>
  </si>
  <si>
    <t>Per report</t>
  </si>
  <si>
    <t>Internal registry record</t>
  </si>
  <si>
    <t>Report_Outputs</t>
  </si>
  <si>
    <t>Pending</t>
  </si>
  <si>
    <t>No external verification claim</t>
  </si>
  <si>
    <t>Stockpile reconciliation</t>
  </si>
  <si>
    <t>CLINKER_STOCK_DELTA_T</t>
  </si>
  <si>
    <t>Clinker Stockpile Change</t>
  </si>
  <si>
    <t>t/quarter</t>
  </si>
  <si>
    <t>Quarterly</t>
  </si>
  <si>
    <t>Stockpile inventory / reconciliation</t>
  </si>
  <si>
    <t>Produced - Used = Stock delta</t>
  </si>
  <si>
    <t>RAWMEAL_MOISTURE_PCT</t>
  </si>
  <si>
    <t>Moisture Content</t>
  </si>
  <si>
    <t>Raw meal lab certificate</t>
  </si>
  <si>
    <t>Traceability; not used in calc if dry-basis</t>
  </si>
  <si>
    <t>TYRECHIPS_FEED_T_DAY</t>
  </si>
  <si>
    <t>Tyre Chips Quantity</t>
  </si>
  <si>
    <t>Kiln</t>
  </si>
  <si>
    <t>Kiln DCS</t>
  </si>
  <si>
    <t>CKD_LEAVING_T_DAY</t>
  </si>
  <si>
    <t>CKD Leaving Kiln Boundary</t>
  </si>
  <si>
    <t>CKD silo / weighbridge</t>
  </si>
  <si>
    <t>Calculations</t>
  </si>
  <si>
    <t>&gt;= 0; if recycled set 0</t>
  </si>
  <si>
    <t>WHR meter</t>
  </si>
  <si>
    <t>WHR_MWH_MONTH</t>
  </si>
  <si>
    <t>WHR Self-Generation</t>
  </si>
  <si>
    <t>WHR meter / SCADA</t>
  </si>
  <si>
    <t>MWh &gt;= 0; EF=0 if waste heat</t>
  </si>
  <si>
    <t>Production Input</t>
  </si>
  <si>
    <t>Monthly demo production inputs and product allocation fields.</t>
  </si>
  <si>
    <t>Date</t>
  </si>
  <si>
    <t>Quarter</t>
  </si>
  <si>
    <t>Kiln Line</t>
  </si>
  <si>
    <t>Cement Type</t>
  </si>
  <si>
    <t>Clinker Produced t</t>
  </si>
  <si>
    <t>Cement Produced t</t>
  </si>
  <si>
    <t>Clinker Used t</t>
  </si>
  <si>
    <t>Gypsum t</t>
  </si>
  <si>
    <t>Limestone Additive t</t>
  </si>
  <si>
    <t>Other Additives t</t>
  </si>
  <si>
    <t>Clinker Factor</t>
  </si>
  <si>
    <t>QA Status</t>
  </si>
  <si>
    <t>Kiln 1</t>
  </si>
  <si>
    <t>EV-PROD-JAN</t>
  </si>
  <si>
    <t>PASS</t>
  </si>
  <si>
    <t>Demo monthly row. Stockpile delta = Produced - Used = +1700</t>
  </si>
  <si>
    <t>EV-PROD-FEB</t>
  </si>
  <si>
    <t>Demo monthly row. Stockpile delta = Produced - Used = +525</t>
  </si>
  <si>
    <t>EV-PROD-MAR</t>
  </si>
  <si>
    <t>Demo monthly row. Stockpile delta = Produced - Used = -2425</t>
  </si>
  <si>
    <t>Raw Material Input</t>
  </si>
  <si>
    <t>Input-based carbonate calculation pathway for Method A. Not selected in demo unless Setup changes.</t>
  </si>
  <si>
    <t>Material</t>
  </si>
  <si>
    <t>Quantity t</t>
  </si>
  <si>
    <t>CaCO3 %</t>
  </si>
  <si>
    <t>MgCO3 %</t>
  </si>
  <si>
    <t>Moisture %</t>
  </si>
  <si>
    <t>Calcination Conversion</t>
  </si>
  <si>
    <t>CaCO3 CO2 t</t>
  </si>
  <si>
    <t>MgCO3 CO2 t</t>
  </si>
  <si>
    <t>Process CO2 Method A t</t>
  </si>
  <si>
    <t>Limestone / raw meal carbonate</t>
  </si>
  <si>
    <t>EV-RAW-JAN</t>
  </si>
  <si>
    <t>EV-RAW-FEB</t>
  </si>
  <si>
    <t>EV-RAW-MAR</t>
  </si>
  <si>
    <t>Kiln Fuel Input</t>
  </si>
  <si>
    <t>Fuel activity data, NCV/EF, fossil fraction, biogenic memo and combustion CO2.</t>
  </si>
  <si>
    <t>Fuel Type</t>
  </si>
  <si>
    <t>Quantity</t>
  </si>
  <si>
    <t>NCV GJ/unit</t>
  </si>
  <si>
    <t>EF tCO2/TJ</t>
  </si>
  <si>
    <t>Oxidation Factor</t>
  </si>
  <si>
    <t>Biomass Fraction</t>
  </si>
  <si>
    <t>Fossil Fraction</t>
  </si>
  <si>
    <t>Energy GJ</t>
  </si>
  <si>
    <t>Energy TJ</t>
  </si>
  <si>
    <t>Fossil CO2 t</t>
  </si>
  <si>
    <t>Biogenic CO2 Memo t</t>
  </si>
  <si>
    <t>Petcoke</t>
  </si>
  <si>
    <t>t</t>
  </si>
  <si>
    <t>EV-FUEL-PETCOKE-Q1</t>
  </si>
  <si>
    <t>Coal</t>
  </si>
  <si>
    <t>EV-FUEL-COAL-Q1</t>
  </si>
  <si>
    <t>RDF</t>
  </si>
  <si>
    <t>EV-FUEL-RDF-Q1</t>
  </si>
  <si>
    <t>Tyre Chips</t>
  </si>
  <si>
    <t>EV-FUEL-TYRE-Q1</t>
  </si>
  <si>
    <t>Electricity Input</t>
  </si>
  <si>
    <t>Purchased grid electricity and indirect grid CO2. Self-generation placeholders are retained but not silently merged.</t>
  </si>
  <si>
    <t>Meter / Source</t>
  </si>
  <si>
    <t>Grid MWh</t>
  </si>
  <si>
    <t>Grid EF tCO2/MWh</t>
  </si>
  <si>
    <t>Grid CO2 t</t>
  </si>
  <si>
    <t>Self-generation MWh</t>
  </si>
  <si>
    <t>Self-generation EF</t>
  </si>
  <si>
    <t>Self-generation CO2 t</t>
  </si>
  <si>
    <t>Renewable MWh</t>
  </si>
  <si>
    <t>Utility bill / main grid meter</t>
  </si>
  <si>
    <t>EV-ELEC-JAN</t>
  </si>
  <si>
    <t>EV-ELEC-FEB</t>
  </si>
  <si>
    <t>EV-ELEC-MAR</t>
  </si>
  <si>
    <t>Constants, Emission Factors, NCV and Unit Conversions</t>
  </si>
  <si>
    <t>Controlled constants used by calculations. Replace demo factors with governed factor library for client deployment.</t>
  </si>
  <si>
    <t>Constant / Factor</t>
  </si>
  <si>
    <t>Source / rationale</t>
  </si>
  <si>
    <t>Used in</t>
  </si>
  <si>
    <t>Change control</t>
  </si>
  <si>
    <t>Source URL</t>
  </si>
  <si>
    <t>GJ to TJ</t>
  </si>
  <si>
    <t>TJ/GJ</t>
  </si>
  <si>
    <t>Unit conversion</t>
  </si>
  <si>
    <t>Fuel energy to emissions</t>
  </si>
  <si>
    <t>Locked</t>
  </si>
  <si>
    <t>Approved</t>
  </si>
  <si>
    <t>Egypt grid EF demo</t>
  </si>
  <si>
    <t>Demo factor; replace with governed country/year factor</t>
  </si>
  <si>
    <t>Controlled</t>
  </si>
  <si>
    <t>Demo</t>
  </si>
  <si>
    <t>Selected clinker process EF</t>
  </si>
  <si>
    <t>tCO2/t clinker</t>
  </si>
  <si>
    <t>Demo output-method EF for realistic SEE; replace with plant method/factor</t>
  </si>
  <si>
    <t>Calculations Method B</t>
  </si>
  <si>
    <t>CaCO3 EF</t>
  </si>
  <si>
    <t>tCO2/t CaCO3</t>
  </si>
  <si>
    <t>Molecular mass ratio CO2/CaCO3</t>
  </si>
  <si>
    <t>Raw_Material_Input Method A</t>
  </si>
  <si>
    <t>MgCO3 EF</t>
  </si>
  <si>
    <t>tCO2/t MgCO3</t>
  </si>
  <si>
    <t>Molecular mass ratio CO2/MgCO3</t>
  </si>
  <si>
    <t>Clinker factor min QA</t>
  </si>
  <si>
    <t>ratio</t>
  </si>
  <si>
    <t>QA range lower bound</t>
  </si>
  <si>
    <t>QAQC_Checks</t>
  </si>
  <si>
    <t>Clinker factor max QA</t>
  </si>
  <si>
    <t>QA range upper bound</t>
  </si>
  <si>
    <t>SEE clinker min QA</t>
  </si>
  <si>
    <t>Expected range lower bound</t>
  </si>
  <si>
    <t>SEE clinker max QA</t>
  </si>
  <si>
    <t>Expected range upper bound</t>
  </si>
  <si>
    <t>Specific heat min QA</t>
  </si>
  <si>
    <t>GJ/t clinker</t>
  </si>
  <si>
    <t>Specific heat max QA</t>
  </si>
  <si>
    <t>Default NCV</t>
  </si>
  <si>
    <t>NCV Unit</t>
  </si>
  <si>
    <t>Default EF</t>
  </si>
  <si>
    <t>EF Unit</t>
  </si>
  <si>
    <t>Default Ox.</t>
  </si>
  <si>
    <t>Default Biomass %</t>
  </si>
  <si>
    <t>High-carbon kiln fuel</t>
  </si>
  <si>
    <t>Fossil solid fuel</t>
  </si>
  <si>
    <t>Demo biomass fraction; must be evidenced</t>
  </si>
  <si>
    <t>Natural Gas</t>
  </si>
  <si>
    <t>GJ/Nm3</t>
  </si>
  <si>
    <t>Use consistent unit handling</t>
  </si>
  <si>
    <t>Diesel</t>
  </si>
  <si>
    <t>Backup fuel placeholder</t>
  </si>
  <si>
    <t>WHR self-gen EF</t>
  </si>
  <si>
    <t>Waste heat recovery = zero emission electricity</t>
  </si>
  <si>
    <t>TSR min QA</t>
  </si>
  <si>
    <t>Alt fuel substitution lower bound</t>
  </si>
  <si>
    <t>TSR max QA</t>
  </si>
  <si>
    <t>Alt fuel substitution upper bound</t>
  </si>
  <si>
    <t>Cement Emissions Calculations</t>
  </si>
  <si>
    <t>Formula-driven quarter totals and CBAM-style embedded emissions output.</t>
  </si>
  <si>
    <t>Metric</t>
  </si>
  <si>
    <t>Formula / Link</t>
  </si>
  <si>
    <t>QA Source</t>
  </si>
  <si>
    <t>=SUM('03_Production_Input'!E4:E6)</t>
  </si>
  <si>
    <t>Selected period production total</t>
  </si>
  <si>
    <t>=SUM('03_Production_Input'!F4:F6)</t>
  </si>
  <si>
    <t>Selected period cement output</t>
  </si>
  <si>
    <t>=SUM('03_Production_Input'!G4:G6)</t>
  </si>
  <si>
    <t>Used for clinker factor</t>
  </si>
  <si>
    <t>=C6/C5</t>
  </si>
  <si>
    <t>Clinker content divided by cement production</t>
  </si>
  <si>
    <t>Process CO2 Method A</t>
  </si>
  <si>
    <t>=SUM('04_Raw_Material_Input'!J4:J6)</t>
  </si>
  <si>
    <t>tCO2</t>
  </si>
  <si>
    <t>Input-based carbonate pathway</t>
  </si>
  <si>
    <t>Process CO2 Method B</t>
  </si>
  <si>
    <t>=C4*Constants[Selected clinker process EF]</t>
  </si>
  <si>
    <t>Output-based clinker pathway selected in demo</t>
  </si>
  <si>
    <t>Constants</t>
  </si>
  <si>
    <t>Selected Process CO2</t>
  </si>
  <si>
    <t>=IF(Setup method = Method A, Method A, Method B)</t>
  </si>
  <si>
    <t>Controlled method selection from Setup</t>
  </si>
  <si>
    <t>Setup</t>
  </si>
  <si>
    <t>Fuel Combustion CO2</t>
  </si>
  <si>
    <t>=SUM('05_Kiln_Fuel_Input'!L4:L7)</t>
  </si>
  <si>
    <t>Fossil combustion only</t>
  </si>
  <si>
    <t>Biogenic CO2 Memo</t>
  </si>
  <si>
    <t>=SUM('05_Kiln_Fuel_Input'!M4:M7)</t>
  </si>
  <si>
    <t>Reported separately; not counted in fossil direct CO2</t>
  </si>
  <si>
    <t>Direct Embedded CO2</t>
  </si>
  <si>
    <t>=Selected Process CO2 + Fuel Combustion CO2</t>
  </si>
  <si>
    <t>Process + fossil fuel combustion</t>
  </si>
  <si>
    <t>Grid Electricity MWh</t>
  </si>
  <si>
    <t>=SUM('06_Electricity_Input'!C4:C6)</t>
  </si>
  <si>
    <t>Purchased grid electricity</t>
  </si>
  <si>
    <t>Indirect Grid CO2</t>
  </si>
  <si>
    <t>=SUM('06_Electricity_Input'!E4:E6)</t>
  </si>
  <si>
    <t>Grid electricity × grid EF</t>
  </si>
  <si>
    <t>Total Embedded CO2</t>
  </si>
  <si>
    <t>=Direct Embedded CO2 + Indirect Grid CO2</t>
  </si>
  <si>
    <t>Direct + indirect grid CO2 for demo reporting mode</t>
  </si>
  <si>
    <t>SEE Clinker</t>
  </si>
  <si>
    <t>=Direct Embedded CO2 / Clinker Produced</t>
  </si>
  <si>
    <t>Direct embedded emissions per tonne clinker</t>
  </si>
  <si>
    <t>Specific Embedded Emissions Cement</t>
  </si>
  <si>
    <t>=Total Embedded CO2 / Cement Produced</t>
  </si>
  <si>
    <t>tCO2/t cement</t>
  </si>
  <si>
    <t>Final cement product intensity</t>
  </si>
  <si>
    <t>Specific Heat Consumption</t>
  </si>
  <si>
    <t>=Fuel Energy GJ / Clinker Produced</t>
  </si>
  <si>
    <t>Fuel energy per tonne clinker</t>
  </si>
  <si>
    <t>Evidence Status</t>
  </si>
  <si>
    <t>=Evidence register mapped status</t>
  </si>
  <si>
    <t>status</t>
  </si>
  <si>
    <t>Mapped evidence completeness</t>
  </si>
  <si>
    <t>QA/QC Overall Status</t>
  </si>
  <si>
    <t>=Aggregate QA/QC status</t>
  </si>
  <si>
    <t>Aggregate QA/QC status</t>
  </si>
  <si>
    <t>Clinker Stockpile Delta</t>
  </si>
  <si>
    <t>Produced minus Used = stockpile change</t>
  </si>
  <si>
    <t>Total Fuel Energy</t>
  </si>
  <si>
    <t>GJ</t>
  </si>
  <si>
    <t>Sum of all fuel thermal energy</t>
  </si>
  <si>
    <t>Alt Fuel Energy</t>
  </si>
  <si>
    <t>RDF + Tyre Chips energy only</t>
  </si>
  <si>
    <t>Thermal Substitution Rate (TSR)</t>
  </si>
  <si>
    <t>Alt fuel energy as % of total fuel energy</t>
  </si>
  <si>
    <t>QA/QC Checks</t>
  </si>
  <si>
    <t>AJ QA/QC V28-style checks for cement workbook completeness, reasonableness and governance.</t>
  </si>
  <si>
    <t>Check ID</t>
  </si>
  <si>
    <t>Category</t>
  </si>
  <si>
    <t>Check Name</t>
  </si>
  <si>
    <t>Rule</t>
  </si>
  <si>
    <t>Result</t>
  </si>
  <si>
    <t>Severity</t>
  </si>
  <si>
    <t>Comment</t>
  </si>
  <si>
    <t>MB-01</t>
  </si>
  <si>
    <t>Mass Balance</t>
  </si>
  <si>
    <t>Clinker factor range</t>
  </si>
  <si>
    <t>0.25 &lt;= Clinker Factor &lt;= 1.00</t>
  </si>
  <si>
    <t>Warning</t>
  </si>
  <si>
    <t>MB-02</t>
  </si>
  <si>
    <t>Cement production &gt;= clinker used</t>
  </si>
  <si>
    <t>Cement Produced &gt;= Clinker Used</t>
  </si>
  <si>
    <t>Fail</t>
  </si>
  <si>
    <t>MB-03</t>
  </si>
  <si>
    <t>Cement mass balance tolerance</t>
  </si>
  <si>
    <t>Clinker + additives ≈ cement ±2%</t>
  </si>
  <si>
    <t>EI-01</t>
  </si>
  <si>
    <t>Emission Intensity</t>
  </si>
  <si>
    <t>SEE clinker expected range</t>
  </si>
  <si>
    <t>0.50 &lt;= SEE Clinker &lt;= 1.20</t>
  </si>
  <si>
    <t>EI-02</t>
  </si>
  <si>
    <t>SEE cement not extreme</t>
  </si>
  <si>
    <t>0.20 &lt;= SEE Cement &lt;= 1.20</t>
  </si>
  <si>
    <t>FC-01</t>
  </si>
  <si>
    <t>All fuel NCV populated</t>
  </si>
  <si>
    <t>Minimum NCV &gt; 0</t>
  </si>
  <si>
    <t>FC-02</t>
  </si>
  <si>
    <t>All fuel EF populated</t>
  </si>
  <si>
    <t>Minimum EF &gt; 0</t>
  </si>
  <si>
    <t>FC-03</t>
  </si>
  <si>
    <t>Biomass fraction valid</t>
  </si>
  <si>
    <t>0 &lt;= Biomass &lt;= 1</t>
  </si>
  <si>
    <t>FC-04</t>
  </si>
  <si>
    <t>Oxidation factor reasonable</t>
  </si>
  <si>
    <t>0.95 &lt;= OxFactor &lt;= 1.00</t>
  </si>
  <si>
    <t>EL-01</t>
  </si>
  <si>
    <t>Grid EF populated</t>
  </si>
  <si>
    <t>Minimum grid EF &gt; 0</t>
  </si>
  <si>
    <t>EL-02</t>
  </si>
  <si>
    <t>Electricity present</t>
  </si>
  <si>
    <t>Grid MWh &gt; 0</t>
  </si>
  <si>
    <t>CP-01</t>
  </si>
  <si>
    <t>Completeness</t>
  </si>
  <si>
    <t>Process CO2 calculated</t>
  </si>
  <si>
    <t>Selected Process CO2 &gt; 0</t>
  </si>
  <si>
    <t>EV-01</t>
  </si>
  <si>
    <t>Evidence register completeness</t>
  </si>
  <si>
    <t>No missing evidence status</t>
  </si>
  <si>
    <t>PR-01</t>
  </si>
  <si>
    <t>Period Lock</t>
  </si>
  <si>
    <t>Input period aligned</t>
  </si>
  <si>
    <t>Inputs are in selected quarter</t>
  </si>
  <si>
    <t>Demo assumes Q1 only</t>
  </si>
  <si>
    <t>MB-04</t>
  </si>
  <si>
    <t>Clinker stockpile reconciliation</t>
  </si>
  <si>
    <t>Produced - Used = tracked delta</t>
  </si>
  <si>
    <t>Stock change = -200t (drawdown)</t>
  </si>
  <si>
    <t>EI-03</t>
  </si>
  <si>
    <t>SHC expected range</t>
  </si>
  <si>
    <t>2.8 &lt;= SHC &lt;= 4.5 GJ/t clinker</t>
  </si>
  <si>
    <t>FC-05</t>
  </si>
  <si>
    <t>TSR in expected range</t>
  </si>
  <si>
    <t>0% &lt;= TSR &lt;= 80%</t>
  </si>
  <si>
    <t>CP-02</t>
  </si>
  <si>
    <t>Method selection valid</t>
  </si>
  <si>
    <t>Method A or B explicitly selected in Setup</t>
  </si>
  <si>
    <t>Method B</t>
  </si>
  <si>
    <t>Report Outputs</t>
  </si>
  <si>
    <t>System-facing quarter outputs for TRACE FORCE Cement dashboard/report generator.</t>
  </si>
  <si>
    <t>Output Field</t>
  </si>
  <si>
    <t>Source</t>
  </si>
  <si>
    <t>Report Label</t>
  </si>
  <si>
    <t>Governance Position</t>
  </si>
  <si>
    <t>Mapped to Cement UI</t>
  </si>
  <si>
    <t>Reporting period</t>
  </si>
  <si>
    <t>Selected-period lock</t>
  </si>
  <si>
    <t>Overview / Report Cover</t>
  </si>
  <si>
    <t>Demo quarter</t>
  </si>
  <si>
    <t>Period Start</t>
  </si>
  <si>
    <t>Overview</t>
  </si>
  <si>
    <t>Period End</t>
  </si>
  <si>
    <t>Product</t>
  </si>
  <si>
    <t>Product selected</t>
  </si>
  <si>
    <t>Product boundary</t>
  </si>
  <si>
    <t>Clinker Production</t>
  </si>
  <si>
    <t>Clinker production</t>
  </si>
  <si>
    <t>Production boundary</t>
  </si>
  <si>
    <t>Overview / Boundary</t>
  </si>
  <si>
    <t>Cement Production</t>
  </si>
  <si>
    <t>Cement production</t>
  </si>
  <si>
    <t>Clinker factor</t>
  </si>
  <si>
    <t>Product allocation</t>
  </si>
  <si>
    <t>Boundary / Bridge</t>
  </si>
  <si>
    <t>Process CO2</t>
  </si>
  <si>
    <t>Direct embedded emissions</t>
  </si>
  <si>
    <t>Process CO2 page</t>
  </si>
  <si>
    <t>Fuel combustion CO2</t>
  </si>
  <si>
    <t>Fuel page</t>
  </si>
  <si>
    <t>Biogenic CO2 memo</t>
  </si>
  <si>
    <t>Reported separately; not counted</t>
  </si>
  <si>
    <t>Direct embedded CO2</t>
  </si>
  <si>
    <t>Process + fossil combustion</t>
  </si>
  <si>
    <t>Indirect activity data</t>
  </si>
  <si>
    <t>Electricity page</t>
  </si>
  <si>
    <t>Indirect grid CO2</t>
  </si>
  <si>
    <t>Purchased electricity where mapped</t>
  </si>
  <si>
    <t>Overview / Electricity</t>
  </si>
  <si>
    <t>Total embedded CO2</t>
  </si>
  <si>
    <t>Direct + indirect grid in demo reporting mode</t>
  </si>
  <si>
    <t>Overview / Report</t>
  </si>
  <si>
    <t>SEE clinker</t>
  </si>
  <si>
    <t>Clinker product intensity</t>
  </si>
  <si>
    <t>Bridge</t>
  </si>
  <si>
    <t>Specific embedded emissions</t>
  </si>
  <si>
    <t>QA/QC status</t>
  </si>
  <si>
    <t>Internal readiness</t>
  </si>
  <si>
    <t>Overview / Export</t>
  </si>
  <si>
    <t>Evidence status</t>
  </si>
  <si>
    <t>Evidence mapping status</t>
  </si>
  <si>
    <t>Assurance Boundary</t>
  </si>
  <si>
    <t>Assurance boundary</t>
  </si>
  <si>
    <t>Not externally verified</t>
  </si>
  <si>
    <t>Report Governance</t>
  </si>
  <si>
    <t>Submission Status</t>
  </si>
  <si>
    <t>Reported separately; NOT counted in CBAM embedded emissions</t>
  </si>
  <si>
    <t>Specific heat consumption</t>
  </si>
  <si>
    <t>Kiln thermal efficiency</t>
  </si>
  <si>
    <t>Overview / Dashboard</t>
  </si>
  <si>
    <t>Thermal Substitution Rate</t>
  </si>
  <si>
    <t>TSR</t>
  </si>
  <si>
    <t>Alt fuel energy share</t>
  </si>
  <si>
    <t>Clinker used</t>
  </si>
  <si>
    <t>May differ from produced due to stockpile</t>
  </si>
  <si>
    <t>Stockpile change</t>
  </si>
  <si>
    <t>Produced minus Used</t>
  </si>
  <si>
    <t>Overview note</t>
  </si>
  <si>
    <t>Evidence Register</t>
  </si>
  <si>
    <t>Maps evidence IDs to source files and reviewer status. Evidence is a review aid unless validated and mapped.</t>
  </si>
  <si>
    <t>Evidence Type</t>
  </si>
  <si>
    <t>Description</t>
  </si>
  <si>
    <t>Mapped Sheet</t>
  </si>
  <si>
    <t>Reviewer</t>
  </si>
  <si>
    <t>Production log</t>
  </si>
  <si>
    <t>January clinker/cement production totals</t>
  </si>
  <si>
    <t>Kiln DCS / ERP</t>
  </si>
  <si>
    <t>03_Production_Input</t>
  </si>
  <si>
    <t>Internal MRV</t>
  </si>
  <si>
    <t>Demo placeholder</t>
  </si>
  <si>
    <t>February clinker/cement production totals</t>
  </si>
  <si>
    <t>March clinker/cement production totals</t>
  </si>
  <si>
    <t>Lab certificate</t>
  </si>
  <si>
    <t>January carbonate chemistry / raw meal lab</t>
  </si>
  <si>
    <t>04_Raw_Material_Input</t>
  </si>
  <si>
    <t>February carbonate chemistry / raw meal lab</t>
  </si>
  <si>
    <t>March carbonate chemistry / raw meal lab</t>
  </si>
  <si>
    <t>Fuel record</t>
  </si>
  <si>
    <t>Petcoke invoices, weigh feeder, lab NCV</t>
  </si>
  <si>
    <t>Fuel system / invoice</t>
  </si>
  <si>
    <t>05_Kiln_Fuel_Input</t>
  </si>
  <si>
    <t>Coal invoices, weigh feeder, lab NCV</t>
  </si>
  <si>
    <t>Alternative fuel record</t>
  </si>
  <si>
    <t>RDF weigh feeder and biomass fraction evidence</t>
  </si>
  <si>
    <t>Alt fuel system / lab</t>
  </si>
  <si>
    <t>Biomass fraction must be evidenced</t>
  </si>
  <si>
    <t>Tyre chips quantity and biomass fraction evidence</t>
  </si>
  <si>
    <t>Electricity bill</t>
  </si>
  <si>
    <t>January purchased grid electricity</t>
  </si>
  <si>
    <t>Utility bill / meter</t>
  </si>
  <si>
    <t>06_Electricity_Input</t>
  </si>
  <si>
    <t>February purchased grid electricity</t>
  </si>
  <si>
    <t>March purchased grid electricity</t>
  </si>
  <si>
    <t>EV-FACTOR-LIB</t>
  </si>
  <si>
    <t>Factor library</t>
  </si>
  <si>
    <t>NCV, EF, oxidation factor and grid EF governance</t>
  </si>
  <si>
    <t>Controlled factor library</t>
  </si>
  <si>
    <t>07_Constants_EF_NCV</t>
  </si>
  <si>
    <t>Annual</t>
  </si>
  <si>
    <t>Replace with approved factor source</t>
  </si>
  <si>
    <t>EV-QAQC-Q1</t>
  </si>
  <si>
    <t>QA/QC register</t>
  </si>
  <si>
    <t>Quarter-level QA/QC review pack</t>
  </si>
  <si>
    <t>09_QAQC_Checks</t>
  </si>
  <si>
    <t>Regulatory References and Workbook Mapping</t>
  </si>
  <si>
    <t>Official EU/CBAM references and how this workbook applies them.</t>
  </si>
  <si>
    <t>Reference</t>
  </si>
  <si>
    <t>Workbook application</t>
  </si>
  <si>
    <t>Official source URL</t>
  </si>
  <si>
    <t>Page / section pointer</t>
  </si>
  <si>
    <t>Applied sheets</t>
  </si>
  <si>
    <t>Last checked</t>
  </si>
  <si>
    <t>CBAM Regulation (EU) 2023/956</t>
  </si>
  <si>
    <t>Legal basis for CBAM and covered goods / embedded emissions reporting.</t>
  </si>
  <si>
    <t>https://taxation-customs.ec.europa.eu/carbon-border-adjustment-mechanism/cbam-legislation-and-guidance_en</t>
  </si>
  <si>
    <t>Legal Texts: Regulation (EU) 2023/956</t>
  </si>
  <si>
    <t>00, 10, 12</t>
  </si>
  <si>
    <t>Source page lists Regulation (EU) 2023/956 establishing CBAM.</t>
  </si>
  <si>
    <t>Official</t>
  </si>
  <si>
    <t>2026-05-19</t>
  </si>
  <si>
    <t>Commission Implementing Regulation (EU) 2023/1773</t>
  </si>
  <si>
    <t>Transitional phase reporting rules and annexes.</t>
  </si>
  <si>
    <t>Implementing acts: Commission Implementing Regulation (EU) 2023/1773</t>
  </si>
  <si>
    <t>00, 08, 10, 12</t>
  </si>
  <si>
    <t>Source page lists transitional phase implementing act.</t>
  </si>
  <si>
    <t>CBAM guidance for installation operators outside the EU</t>
  </si>
  <si>
    <t>Operator-facing guidance for installation-level data and communication with importers.</t>
  </si>
  <si>
    <t>Guidance documents: operators outside the EU PDF</t>
  </si>
  <si>
    <t>02, 09, 11, 12</t>
  </si>
  <si>
    <t>Workbook follows operator data collection / evidence mapping posture.</t>
  </si>
  <si>
    <t>CBAM Communication Template for installations</t>
  </si>
  <si>
    <t>Template designed to help operators transmit data correctly.</t>
  </si>
  <si>
    <t>Communication template for installations XLSX</t>
  </si>
  <si>
    <t>10, 11, 12</t>
  </si>
  <si>
    <t>Report_Outputs is designed as a system-facing pre-template layer.</t>
  </si>
  <si>
    <t>CBAM Communication Template examples</t>
  </si>
  <si>
    <t>Sector examples include cement, aluminium, fertilisers, hydrogen and steel.</t>
  </si>
  <si>
    <t>CBAM Communication template - Examples ZIP</t>
  </si>
  <si>
    <t>12</t>
  </si>
  <si>
    <t>Confirms cement sector examples exist in Commission materials.</t>
  </si>
  <si>
    <t>Default values transitional period</t>
  </si>
  <si>
    <t>Reference when actual data is unavailable for CBAM-covered goods.</t>
  </si>
  <si>
    <t>Default values transitional period PDF</t>
  </si>
  <si>
    <t>07, 08, 12</t>
  </si>
  <si>
    <t>Workbook is actual-data oriented but includes factor/source governance.</t>
  </si>
  <si>
    <t>EU ETS MRR concepts</t>
  </si>
  <si>
    <t>Monitoring and reporting discipline for emissions data and factors.</t>
  </si>
  <si>
    <t>https://eur-lex.europa.eu/eli/reg_impl/2018/2066/oj</t>
  </si>
  <si>
    <t>Regulation (EU) 2018/2066</t>
  </si>
  <si>
    <t>02, 05, 07, 08, 09</t>
  </si>
  <si>
    <t>Fuel NCV/EF/oxidation factor discipline mirrors MRR-style monitoring.</t>
  </si>
  <si>
    <t>ISO 14064-1:2018</t>
  </si>
  <si>
    <t>GHG inventory boundaries and quantified emission categories.</t>
  </si>
  <si>
    <t>https://www.iso.org/standard/66453.html</t>
  </si>
  <si>
    <t>ISO 14064-1 overview</t>
  </si>
  <si>
    <t>00, 01, 08, 09, 10</t>
  </si>
  <si>
    <t>Reference only; standard text not reproduced.</t>
  </si>
  <si>
    <t>External standard</t>
  </si>
  <si>
    <t>ISO 14064-3:2019</t>
  </si>
  <si>
    <t>Validation/verification concepts for GHG assertions.</t>
  </si>
  <si>
    <t>https://www.iso.org/standard/66455.html</t>
  </si>
  <si>
    <t>ISO 14064-3 overview</t>
  </si>
  <si>
    <t>09, 10, 11</t>
  </si>
  <si>
    <t>Cement MRV Dashboard</t>
  </si>
  <si>
    <t>Executive summary of demo Q1 cement emissions and QA/QC status. Demo data only.</t>
  </si>
  <si>
    <t>Governance position</t>
  </si>
  <si>
    <t>Component</t>
  </si>
  <si>
    <t>Share</t>
  </si>
  <si>
    <t>Visual</t>
  </si>
  <si>
    <t>Direct embedded emissions - calcination</t>
  </si>
  <si>
    <t>Direct embedded emissions - fossil kiln fuels</t>
  </si>
  <si>
    <t>Direct + indirect in demo mode</t>
  </si>
  <si>
    <t>SEE Cement</t>
  </si>
  <si>
    <t>Final product intensity</t>
  </si>
  <si>
    <t>QA/QC Status</t>
  </si>
  <si>
    <t>CBAM-style cement flow: Direct Embedded CO2 = Process CO2 + Fuel Combustion CO2. Total Embedded CO2 = Direct Embedded CO2 + Indirect Grid CO2. Specific Embedded Emissions = Total Embedded CO2 / Cement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</si>
</sst>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#,##0.0000"/>
    <numFmt numFmtId="168" formatCode="0.0%"/>
  </numFmts>
  <fonts count="11">
    <font>
      <sz val="11"/>
      <name val="Carlito"/>
    </font>
    <font>
      <b/>
      <sz val="16"/>
      <color rgb="FFFFFFFF"/>
      <name val="Carlito"/>
    </font>
    <font>
      <sz val="10"/>
      <color rgb="FF475569"/>
      <name val="Carlito"/>
    </font>
    <font>
      <b/>
      <sz val="10"/>
      <color rgb="FFFFFFFF"/>
      <name val="Carlito"/>
    </font>
    <font>
      <sz val="10"/>
      <color rgb="FF0F172A"/>
      <name val="Carlito"/>
    </font>
    <font>
      <b/>
      <sz val="11"/>
      <color rgb="FF92400E"/>
      <name val="Carlito"/>
    </font>
    <font>
      <b/>
      <sz val="10"/>
      <color rgb="FF0F172A"/>
      <name val="Carlito"/>
    </font>
    <font>
      <b/>
      <sz val="11"/>
      <color rgb="FF0F172A"/>
      <name val="Carlito"/>
    </font>
    <font>
      <b/>
      <sz val="16"/>
      <color rgb="FF0F172A"/>
      <name val="Carlito"/>
    </font>
    <font>
      <b/>
      <sz val="10"/>
      <color rgb="FF00A8B5"/>
      <name val="Carlito"/>
    </font>
    <font>
      <b/>
      <sz val="11"/>
      <color rgb="FF0B1D3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D3A"/>
      </patternFill>
    </fill>
    <fill>
      <patternFill patternType="solid">
        <fgColor rgb="FFE8F8F9"/>
      </patternFill>
    </fill>
    <fill>
      <patternFill patternType="solid">
        <fgColor rgb="FF0F2850"/>
      </patternFill>
    </fill>
    <fill>
      <patternFill patternType="solid">
        <fgColor rgb="FFFEF3C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1">
    <xf numFmtId="0" fontId="0" fillId="0" borderId="0" xfId="0" applyBorder="1"/>
    <xf numFmtId="0" fontId="3" fillId="4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 applyAlignment="1">
      <alignment vertical="top" wrapText="1"/>
    </xf>
    <xf numFmtId="164" fontId="4" fillId="0" borderId="0" xfId="0" applyNumberFormat="1" applyFont="1" applyBorder="1" applyAlignment="1">
      <alignment vertical="top" wrapText="1"/>
    </xf>
    <xf numFmtId="4" fontId="4" fillId="0" borderId="0" xfId="0" applyNumberFormat="1" applyFont="1" applyBorder="1" applyAlignment="1">
      <alignment vertical="top" wrapText="1"/>
    </xf>
    <xf numFmtId="165" fontId="4" fillId="0" borderId="0" xfId="0" applyNumberFormat="1" applyFont="1" applyBorder="1" applyAlignment="1">
      <alignment vertical="top" wrapText="1"/>
    </xf>
    <xf numFmtId="10" fontId="4" fillId="0" borderId="0" xfId="0" applyNumberFormat="1" applyFont="1" applyBorder="1" applyAlignment="1">
      <alignment vertical="top" wrapText="1"/>
    </xf>
    <xf numFmtId="166" fontId="4" fillId="0" borderId="0" xfId="0" applyNumberFormat="1" applyFont="1" applyBorder="1" applyAlignment="1">
      <alignment vertical="top" wrapText="1"/>
    </xf>
    <xf numFmtId="167" fontId="4" fillId="0" borderId="0" xfId="0" applyNumberFormat="1" applyFont="1" applyBorder="1" applyAlignment="1">
      <alignment vertical="top" wrapText="1"/>
    </xf>
    <xf numFmtId="167" fontId="0" fillId="0" borderId="0" xfId="0" applyNumberFormat="1" applyBorder="1"/>
    <xf numFmtId="168" fontId="4" fillId="0" borderId="0" xfId="0" applyNumberFormat="1" applyFont="1" applyBorder="1" applyAlignment="1">
      <alignment vertical="top" wrapText="1"/>
    </xf>
    <xf numFmtId="0" fontId="1" fillId="2" borderId="1" xfId="0" applyFont="1" applyFill="1" applyAlignment="1">
      <alignment horizontal="left" vertical="center"/>
    </xf>
    <xf numFmtId="0" fontId="0" fillId="0" borderId="1" xfId="0"/>
    <xf numFmtId="0" fontId="5" fillId="5" borderId="1" xfId="0" applyFont="1" applyFill="1" applyAlignment="1">
      <alignment wrapText="1"/>
    </xf>
    <xf numFmtId="0" fontId="2" fillId="3" borderId="1" xfId="0" applyFont="1" applyFill="1" applyAlignment="1">
      <alignment horizontal="left" vertical="center" wrapText="1"/>
    </xf>
    <xf numFmtId="0" fontId="10" fillId="3" borderId="1" xfId="0" applyFont="1" applyFill="1" applyAlignment="1">
      <alignment vertical="center" wrapText="1"/>
    </xf>
    <xf numFmtId="0" fontId="0" fillId="0" borderId="0" xfId="0" applyBorder="1"/>
    <xf numFmtId="0" fontId="8" fillId="6" borderId="1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tupTable" displayName="SetupTable" ref="A3:F14">
  <tableColumns count="6">
    <tableColumn id="1" xr3:uid="{00000000-0010-0000-0000-000001000000}" name="Parameter"/>
    <tableColumn id="2" xr3:uid="{00000000-0010-0000-0000-000002000000}" name="Value"/>
    <tableColumn id="3" xr3:uid="{00000000-0010-0000-0000-000003000000}" name="Unit"/>
    <tableColumn id="4" xr3:uid="{00000000-0010-0000-0000-000004000000}" name="Required?"/>
    <tableColumn id="5" xr3:uid="{00000000-0010-0000-0000-000005000000}" name="Notes"/>
    <tableColumn id="6" xr3:uid="{00000000-0010-0000-0000-000006000000}" name="Governance 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CSBoundaryMap" displayName="DCSBoundaryMap" ref="A3:K19">
  <tableColumns count="11">
    <tableColumn id="1" xr3:uid="{00000000-0010-0000-0100-000001000000}" name="Boundary Area"/>
    <tableColumn id="2" xr3:uid="{00000000-0010-0000-0100-000002000000}" name="Source System"/>
    <tableColumn id="3" xr3:uid="{00000000-0010-0000-0100-000003000000}" name="DCS/ERP/Lab Tag"/>
    <tableColumn id="4" xr3:uid="{00000000-0010-0000-0100-000004000000}" name="MRV Field"/>
    <tableColumn id="5" xr3:uid="{00000000-0010-0000-0100-000005000000}" name="Unit"/>
    <tableColumn id="6" xr3:uid="{00000000-0010-0000-0100-000006000000}" name="Frequency"/>
    <tableColumn id="7" xr3:uid="{00000000-0010-0000-0100-000007000000}" name="Evidence Required"/>
    <tableColumn id="8" xr3:uid="{00000000-0010-0000-0100-000008000000}" name="Calculation Use"/>
    <tableColumn id="9" xr3:uid="{00000000-0010-0000-0100-000009000000}" name="Mapped Status"/>
    <tableColumn id="10" xr3:uid="{00000000-0010-0000-0100-00000A000000}" name="Owner"/>
    <tableColumn id="11" xr3:uid="{00000000-0010-0000-0100-00000B000000}" name="QA/QC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ionInput" displayName="ProductionInput" ref="A3:N6">
  <tableColumns count="14">
    <tableColumn id="1" xr3:uid="{00000000-0010-0000-0200-000001000000}" name="Date"/>
    <tableColumn id="2" xr3:uid="{00000000-0010-0000-0200-000002000000}" name="Quarter"/>
    <tableColumn id="3" xr3:uid="{00000000-0010-0000-0200-000003000000}" name="Kiln Line"/>
    <tableColumn id="4" xr3:uid="{00000000-0010-0000-0200-000004000000}" name="Cement Type"/>
    <tableColumn id="5" xr3:uid="{00000000-0010-0000-0200-000005000000}" name="Clinker Produced t"/>
    <tableColumn id="6" xr3:uid="{00000000-0010-0000-0200-000006000000}" name="Cement Produced t"/>
    <tableColumn id="7" xr3:uid="{00000000-0010-0000-0200-000007000000}" name="Clinker Used t"/>
    <tableColumn id="8" xr3:uid="{00000000-0010-0000-0200-000008000000}" name="Gypsum t"/>
    <tableColumn id="9" xr3:uid="{00000000-0010-0000-0200-000009000000}" name="Limestone Additive t"/>
    <tableColumn id="10" xr3:uid="{00000000-0010-0000-0200-00000A000000}" name="Other Additives t"/>
    <tableColumn id="11" xr3:uid="{00000000-0010-0000-0200-00000B000000}" name="Clinker Factor"/>
    <tableColumn id="12" xr3:uid="{00000000-0010-0000-0200-00000C000000}" name="Evidence ID"/>
    <tableColumn id="13" xr3:uid="{00000000-0010-0000-0200-00000D000000}" name="QA Status"/>
    <tableColumn id="14" xr3:uid="{00000000-0010-0000-0200-00000E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MaterialInput" displayName="RawMaterialInput" ref="A3:L6">
  <tableColumns count="12">
    <tableColumn id="1" xr3:uid="{00000000-0010-0000-0300-000001000000}" name="Date"/>
    <tableColumn id="2" xr3:uid="{00000000-0010-0000-0300-000002000000}" name="Material"/>
    <tableColumn id="3" xr3:uid="{00000000-0010-0000-0300-000003000000}" name="Quantity t"/>
    <tableColumn id="4" xr3:uid="{00000000-0010-0000-0300-000004000000}" name="CaCO3 %"/>
    <tableColumn id="5" xr3:uid="{00000000-0010-0000-0300-000005000000}" name="MgCO3 %"/>
    <tableColumn id="6" xr3:uid="{00000000-0010-0000-0300-000006000000}" name="Moisture %"/>
    <tableColumn id="7" xr3:uid="{00000000-0010-0000-0300-000007000000}" name="Calcination Conversion"/>
    <tableColumn id="8" xr3:uid="{00000000-0010-0000-0300-000008000000}" name="CaCO3 CO2 t"/>
    <tableColumn id="9" xr3:uid="{00000000-0010-0000-0300-000009000000}" name="MgCO3 CO2 t"/>
    <tableColumn id="10" xr3:uid="{00000000-0010-0000-0300-00000A000000}" name="Process CO2 Method A t"/>
    <tableColumn id="11" xr3:uid="{00000000-0010-0000-0300-00000B000000}" name="Evidence ID"/>
    <tableColumn id="12" xr3:uid="{00000000-0010-0000-0300-00000C000000}" name="Q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ilnFuelInput" displayName="KilnFuelInput" ref="A3:O7">
  <tableColumns count="15">
    <tableColumn id="1" xr3:uid="{00000000-0010-0000-0400-000001000000}" name="Date"/>
    <tableColumn id="2" xr3:uid="{00000000-0010-0000-0400-000002000000}" name="Fuel Type"/>
    <tableColumn id="3" xr3:uid="{00000000-0010-0000-0400-000003000000}" name="Quantity"/>
    <tableColumn id="4" xr3:uid="{00000000-0010-0000-0400-000004000000}" name="Unit"/>
    <tableColumn id="5" xr3:uid="{00000000-0010-0000-0400-000005000000}" name="NCV GJ/unit"/>
    <tableColumn id="6" xr3:uid="{00000000-0010-0000-0400-000006000000}" name="EF tCO2/TJ"/>
    <tableColumn id="7" xr3:uid="{00000000-0010-0000-0400-000007000000}" name="Oxidation Factor"/>
    <tableColumn id="8" xr3:uid="{00000000-0010-0000-0400-000008000000}" name="Biomass Fraction"/>
    <tableColumn id="9" xr3:uid="{00000000-0010-0000-0400-000009000000}" name="Fossil Fraction"/>
    <tableColumn id="10" xr3:uid="{00000000-0010-0000-0400-00000A000000}" name="Energy GJ"/>
    <tableColumn id="11" xr3:uid="{00000000-0010-0000-0400-00000B000000}" name="Energy TJ"/>
    <tableColumn id="12" xr3:uid="{00000000-0010-0000-0400-00000C000000}" name="Fossil CO2 t"/>
    <tableColumn id="13" xr3:uid="{00000000-0010-0000-0400-00000D000000}" name="Biogenic CO2 Memo t"/>
    <tableColumn id="14" xr3:uid="{00000000-0010-0000-0400-00000E000000}" name="Evidence ID"/>
    <tableColumn id="15" xr3:uid="{00000000-0010-0000-0400-00000F000000}" name="QA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lectricityInput" displayName="ElectricityInput" ref="A3:K6">
  <tableColumns count="11">
    <tableColumn id="1" xr3:uid="{00000000-0010-0000-0500-000001000000}" name="Date"/>
    <tableColumn id="2" xr3:uid="{00000000-0010-0000-0500-000002000000}" name="Meter / Source"/>
    <tableColumn id="3" xr3:uid="{00000000-0010-0000-0500-000003000000}" name="Grid MWh"/>
    <tableColumn id="4" xr3:uid="{00000000-0010-0000-0500-000004000000}" name="Grid EF tCO2/MWh"/>
    <tableColumn id="5" xr3:uid="{00000000-0010-0000-0500-000005000000}" name="Grid CO2 t"/>
    <tableColumn id="6" xr3:uid="{00000000-0010-0000-0500-000006000000}" name="Self-generation MWh"/>
    <tableColumn id="7" xr3:uid="{00000000-0010-0000-0500-000007000000}" name="Self-generation EF"/>
    <tableColumn id="8" xr3:uid="{00000000-0010-0000-0500-000008000000}" name="Self-generation CO2 t"/>
    <tableColumn id="9" xr3:uid="{00000000-0010-0000-0500-000009000000}" name="Renewable MWh"/>
    <tableColumn id="10" xr3:uid="{00000000-0010-0000-0500-00000A000000}" name="Evidence ID"/>
    <tableColumn id="11" xr3:uid="{00000000-0010-0000-0500-00000B000000}" name="QA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eneralConstants" displayName="GeneralConstants" ref="A3:H14">
  <tableColumns count="8">
    <tableColumn id="1" xr3:uid="{00000000-0010-0000-0600-000001000000}" name="Constant / Factor"/>
    <tableColumn id="2" xr3:uid="{00000000-0010-0000-0600-000002000000}" name="Value"/>
    <tableColumn id="3" xr3:uid="{00000000-0010-0000-0600-000003000000}" name="Unit"/>
    <tableColumn id="4" xr3:uid="{00000000-0010-0000-0600-000004000000}" name="Source / rationale"/>
    <tableColumn id="5" xr3:uid="{00000000-0010-0000-0600-000005000000}" name="Used in"/>
    <tableColumn id="6" xr3:uid="{00000000-0010-0000-0600-000006000000}" name="Change control"/>
    <tableColumn id="7" xr3:uid="{00000000-0010-0000-0600-000007000000}" name="Status"/>
    <tableColumn id="8" xr3:uid="{00000000-0010-0000-0600-000008000000}" name="Source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uelDefaults" displayName="FuelDefaults" ref="A17:H23">
  <tableColumns count="8">
    <tableColumn id="1" xr3:uid="{00000000-0010-0000-0700-000001000000}" name="Fuel Type"/>
    <tableColumn id="2" xr3:uid="{00000000-0010-0000-0700-000002000000}" name="Default NCV"/>
    <tableColumn id="3" xr3:uid="{00000000-0010-0000-0700-000003000000}" name="NCV Unit"/>
    <tableColumn id="4" xr3:uid="{00000000-0010-0000-0700-000004000000}" name="Default EF"/>
    <tableColumn id="5" xr3:uid="{00000000-0010-0000-0700-000005000000}" name="EF Unit"/>
    <tableColumn id="6" xr3:uid="{00000000-0010-0000-0700-000006000000}" name="Default Ox."/>
    <tableColumn id="7" xr3:uid="{00000000-0010-0000-0700-000007000000}" name="Default Biomass %"/>
    <tableColumn id="8" xr3:uid="{00000000-0010-0000-0700-000008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ementCalculations" displayName="CementCalculations" ref="A3:F21">
  <tableColumns count="6">
    <tableColumn id="1" xr3:uid="{00000000-0010-0000-0800-000001000000}" name="Metric"/>
    <tableColumn id="2" xr3:uid="{00000000-0010-0000-0800-000002000000}" name="Formula / Link"/>
    <tableColumn id="3" xr3:uid="{00000000-0010-0000-0800-000003000000}" name="Value"/>
    <tableColumn id="4" xr3:uid="{00000000-0010-0000-0800-000004000000}" name="Unit"/>
    <tableColumn id="5" xr3:uid="{00000000-0010-0000-0800-000005000000}" name="Governance note"/>
    <tableColumn id="6" xr3:uid="{00000000-0010-0000-0800-000006000000}" name="QA Sour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AQCChecks" displayName="QAQCChecks" ref="A3:I17">
  <tableColumns count="9">
    <tableColumn id="1" xr3:uid="{00000000-0010-0000-0900-000001000000}" name="Check ID"/>
    <tableColumn id="2" xr3:uid="{00000000-0010-0000-0900-000002000000}" name="Category"/>
    <tableColumn id="3" xr3:uid="{00000000-0010-0000-0900-000003000000}" name="Check Name"/>
    <tableColumn id="4" xr3:uid="{00000000-0010-0000-0900-000004000000}" name="Rule"/>
    <tableColumn id="5" xr3:uid="{00000000-0010-0000-0900-000005000000}" name="Result"/>
    <tableColumn id="6" xr3:uid="{00000000-0010-0000-0900-000006000000}" name="Status"/>
    <tableColumn id="7" xr3:uid="{00000000-0010-0000-0900-000007000000}" name="Severity"/>
    <tableColumn id="8" xr3:uid="{00000000-0010-0000-0900-000008000000}" name="Owner"/>
    <tableColumn id="9" xr3:uid="{00000000-0010-0000-0900-000009000000}" name="Com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eportOutputs" displayName="ReportOutputs" ref="A3:H23">
  <tableColumns count="8">
    <tableColumn id="1" xr3:uid="{00000000-0010-0000-0A00-000001000000}" name="Output Field"/>
    <tableColumn id="2" xr3:uid="{00000000-0010-0000-0A00-000002000000}" name="Value"/>
    <tableColumn id="3" xr3:uid="{00000000-0010-0000-0A00-000003000000}" name="Unit"/>
    <tableColumn id="4" xr3:uid="{00000000-0010-0000-0A00-000004000000}" name="Source"/>
    <tableColumn id="5" xr3:uid="{00000000-0010-0000-0A00-000005000000}" name="Report Label"/>
    <tableColumn id="6" xr3:uid="{00000000-0010-0000-0A00-000006000000}" name="Governance Position"/>
    <tableColumn id="7" xr3:uid="{00000000-0010-0000-0A00-000007000000}" name="Mapped to Cement UI"/>
    <tableColumn id="8" xr3:uid="{00000000-0010-0000-0A00-000008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videnceRegister" displayName="EvidenceRegister" ref="A3:J18">
  <tableColumns count="10">
    <tableColumn id="1" xr3:uid="{00000000-0010-0000-0B00-000001000000}" name="Evidence ID"/>
    <tableColumn id="2" xr3:uid="{00000000-0010-0000-0B00-000002000000}" name="Evidence Type"/>
    <tableColumn id="3" xr3:uid="{00000000-0010-0000-0B00-000003000000}" name="Description"/>
    <tableColumn id="4" xr3:uid="{00000000-0010-0000-0B00-000004000000}" name="Source System"/>
    <tableColumn id="5" xr3:uid="{00000000-0010-0000-0B00-000005000000}" name="Mapped Sheet"/>
    <tableColumn id="6" xr3:uid="{00000000-0010-0000-0B00-000006000000}" name="Status"/>
    <tableColumn id="7" xr3:uid="{00000000-0010-0000-0B00-000007000000}" name="Owner"/>
    <tableColumn id="8" xr3:uid="{00000000-0010-0000-0B00-000008000000}" name="Reviewer"/>
    <tableColumn id="9" xr3:uid="{00000000-0010-0000-0B00-000009000000}" name="Frequency"/>
    <tableColumn id="10" xr3:uid="{00000000-0010-0000-0B00-00000A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egulatoryRefs" displayName="RegulatoryRefs" ref="A3:H12">
  <tableColumns count="8">
    <tableColumn id="1" xr3:uid="{00000000-0010-0000-0C00-000001000000}" name="Reference"/>
    <tableColumn id="2" xr3:uid="{00000000-0010-0000-0C00-000002000000}" name="Workbook application"/>
    <tableColumn id="3" xr3:uid="{00000000-0010-0000-0C00-000003000000}" name="Official source URL"/>
    <tableColumn id="4" xr3:uid="{00000000-0010-0000-0C00-000004000000}" name="Page / section pointer"/>
    <tableColumn id="5" xr3:uid="{00000000-0010-0000-0C00-000005000000}" name="Applied sheets"/>
    <tableColumn id="6" xr3:uid="{00000000-0010-0000-0C00-000006000000}" name="Notes"/>
    <tableColumn id="7" xr3:uid="{00000000-0010-0000-0C00-000007000000}" name="Status"/>
    <tableColumn id="8" xr3:uid="{00000000-0010-0000-0C00-000008000000}" name="Last chec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sqref="A1:J1"/>
    </sheetView>
  </sheetViews>
  <sheetFormatPr defaultRowHeight="14"/>
  <cols>
    <col min="1" max="2" width="28" customWidth="1"/>
    <col min="3" max="3" width="75" customWidth="1"/>
  </cols>
  <sheetData>
    <row r="1" spans="1:10" ht="28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4" customHeight="1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4" customHeight="1">
      <c r="A3" s="1" t="s">
        <v>2</v>
      </c>
      <c r="B3" s="1" t="s">
        <v>3</v>
      </c>
      <c r="C3" s="1" t="s">
        <v>4</v>
      </c>
    </row>
    <row r="4" spans="1:10" ht="25">
      <c r="A4" s="2" t="s">
        <v>5</v>
      </c>
      <c r="B4" s="2" t="s">
        <v>6</v>
      </c>
      <c r="C4" s="2" t="s">
        <v>7</v>
      </c>
    </row>
    <row r="5" spans="1:10" ht="25">
      <c r="A5" s="2" t="s">
        <v>8</v>
      </c>
      <c r="B5" s="2" t="s">
        <v>9</v>
      </c>
      <c r="C5" s="2" t="s">
        <v>10</v>
      </c>
    </row>
    <row r="6" spans="1:10">
      <c r="A6" s="2" t="s">
        <v>11</v>
      </c>
      <c r="B6" s="2" t="s">
        <v>12</v>
      </c>
      <c r="C6" s="2" t="s">
        <v>13</v>
      </c>
    </row>
    <row r="7" spans="1:10">
      <c r="A7" s="2" t="s">
        <v>14</v>
      </c>
      <c r="B7" s="2" t="s">
        <v>15</v>
      </c>
      <c r="C7" s="2" t="s">
        <v>16</v>
      </c>
    </row>
    <row r="8" spans="1:10" ht="25">
      <c r="A8" s="2" t="s">
        <v>17</v>
      </c>
      <c r="B8" s="2" t="s">
        <v>18</v>
      </c>
      <c r="C8" s="2" t="s">
        <v>19</v>
      </c>
    </row>
    <row r="9" spans="1:10" ht="37.5">
      <c r="A9" s="2" t="s">
        <v>20</v>
      </c>
      <c r="B9" s="2" t="s">
        <v>21</v>
      </c>
      <c r="C9" s="2" t="s">
        <v>22</v>
      </c>
    </row>
    <row r="10" spans="1:10" ht="25">
      <c r="A10" s="2" t="s">
        <v>23</v>
      </c>
      <c r="B10" s="2" t="s">
        <v>24</v>
      </c>
      <c r="C10" s="2" t="s">
        <v>25</v>
      </c>
    </row>
    <row r="12" spans="1:10" ht="42" customHeight="1">
      <c r="A12" s="16" t="s">
        <v>26</v>
      </c>
      <c r="B12" s="15"/>
      <c r="C12" s="15"/>
      <c r="D12" s="15"/>
      <c r="E12" s="15"/>
      <c r="F12" s="15"/>
      <c r="G12" s="15"/>
      <c r="H12" s="15"/>
      <c r="I12" s="15"/>
      <c r="J12" s="15"/>
    </row>
    <row r="14" spans="1:10">
      <c r="A14" t="s">
        <v>27</v>
      </c>
      <c r="B14" t="s">
        <v>28</v>
      </c>
      <c r="C14" t="s">
        <v>29</v>
      </c>
    </row>
    <row r="15" spans="1:10">
      <c r="A15" t="s">
        <v>30</v>
      </c>
      <c r="B15" t="s">
        <v>31</v>
      </c>
      <c r="C15" t="s">
        <v>32</v>
      </c>
    </row>
    <row r="16" spans="1:10">
      <c r="A16" t="s">
        <v>33</v>
      </c>
      <c r="B16" t="s">
        <v>34</v>
      </c>
      <c r="C16" t="s">
        <v>35</v>
      </c>
    </row>
  </sheetData>
  <mergeCells count="3">
    <mergeCell ref="A1:J1"/>
    <mergeCell ref="A12:J12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F1"/>
    </sheetView>
  </sheetViews>
  <sheetFormatPr defaultRowHeight="14"/>
  <cols>
    <col min="1" max="1" width="28" customWidth="1"/>
    <col min="2" max="2" width="34" customWidth="1"/>
    <col min="3" max="3" width="12" customWidth="1"/>
    <col min="4" max="4" width="14" customWidth="1"/>
    <col min="5" max="5" width="55" customWidth="1"/>
    <col min="6" max="6" width="20" customWidth="1"/>
  </cols>
  <sheetData>
    <row r="1" spans="1:6" ht="28" customHeight="1">
      <c r="A1" s="14" t="s">
        <v>36</v>
      </c>
      <c r="B1" s="15"/>
      <c r="C1" s="15"/>
      <c r="D1" s="15"/>
      <c r="E1" s="15"/>
      <c r="F1" s="15"/>
    </row>
    <row r="2" spans="1:6" ht="34" customHeight="1">
      <c r="A2" s="17" t="s">
        <v>37</v>
      </c>
      <c r="B2" s="15"/>
      <c r="C2" s="15"/>
      <c r="D2" s="15"/>
      <c r="E2" s="15"/>
      <c r="F2" s="15"/>
    </row>
    <row r="3" spans="1:6" ht="24" customHeight="1">
      <c r="A3" s="1" t="s">
        <v>38</v>
      </c>
      <c r="B3" s="1" t="s">
        <v>3</v>
      </c>
      <c r="C3" s="1" t="s">
        <v>39</v>
      </c>
      <c r="D3" s="1" t="s">
        <v>40</v>
      </c>
      <c r="E3" s="1" t="s">
        <v>41</v>
      </c>
      <c r="F3" s="1" t="s">
        <v>42</v>
      </c>
    </row>
    <row r="4" spans="1:6">
      <c r="A4" s="2" t="s">
        <v>43</v>
      </c>
      <c r="B4" s="2" t="s">
        <v>44</v>
      </c>
      <c r="C4" s="2"/>
      <c r="D4" s="2" t="s">
        <v>45</v>
      </c>
      <c r="E4" s="2" t="s">
        <v>46</v>
      </c>
      <c r="F4" s="2" t="s">
        <v>47</v>
      </c>
    </row>
    <row r="5" spans="1:6">
      <c r="A5" s="2" t="s">
        <v>48</v>
      </c>
      <c r="B5" s="2" t="s">
        <v>49</v>
      </c>
      <c r="C5" s="2"/>
      <c r="D5" s="2" t="s">
        <v>45</v>
      </c>
      <c r="E5" s="2" t="s">
        <v>50</v>
      </c>
      <c r="F5" s="2" t="s">
        <v>51</v>
      </c>
    </row>
    <row r="6" spans="1:6">
      <c r="A6" s="2" t="s">
        <v>52</v>
      </c>
      <c r="B6" s="2" t="s">
        <v>53</v>
      </c>
      <c r="C6" s="2"/>
      <c r="D6" s="2" t="s">
        <v>45</v>
      </c>
      <c r="E6" s="2" t="s">
        <v>54</v>
      </c>
      <c r="F6" s="2" t="s">
        <v>51</v>
      </c>
    </row>
    <row r="7" spans="1:6">
      <c r="A7" s="2" t="s">
        <v>55</v>
      </c>
      <c r="B7" s="2" t="s">
        <v>56</v>
      </c>
      <c r="C7" s="2"/>
      <c r="D7" s="2" t="s">
        <v>45</v>
      </c>
      <c r="E7" s="2" t="s">
        <v>57</v>
      </c>
      <c r="F7" s="2" t="s">
        <v>58</v>
      </c>
    </row>
    <row r="8" spans="1:6">
      <c r="A8" s="2" t="s">
        <v>59</v>
      </c>
      <c r="B8" s="6">
        <v>45658</v>
      </c>
      <c r="C8" s="2" t="s">
        <v>60</v>
      </c>
      <c r="D8" s="2" t="s">
        <v>45</v>
      </c>
      <c r="E8" s="2" t="s">
        <v>61</v>
      </c>
      <c r="F8" s="2" t="s">
        <v>58</v>
      </c>
    </row>
    <row r="9" spans="1:6">
      <c r="A9" s="2" t="s">
        <v>62</v>
      </c>
      <c r="B9" s="6">
        <v>45747</v>
      </c>
      <c r="C9" s="2" t="s">
        <v>60</v>
      </c>
      <c r="D9" s="2" t="s">
        <v>45</v>
      </c>
      <c r="E9" s="2" t="s">
        <v>63</v>
      </c>
      <c r="F9" s="2" t="s">
        <v>58</v>
      </c>
    </row>
    <row r="10" spans="1:6">
      <c r="A10" s="2" t="s">
        <v>64</v>
      </c>
      <c r="B10" s="2" t="s">
        <v>15</v>
      </c>
      <c r="C10" s="2"/>
      <c r="D10" s="2" t="s">
        <v>45</v>
      </c>
      <c r="E10" s="2" t="s">
        <v>65</v>
      </c>
      <c r="F10" s="2" t="s">
        <v>66</v>
      </c>
    </row>
    <row r="11" spans="1:6">
      <c r="A11" s="2" t="s">
        <v>67</v>
      </c>
      <c r="B11" s="2" t="s">
        <v>68</v>
      </c>
      <c r="C11" s="2"/>
      <c r="D11" s="2" t="s">
        <v>45</v>
      </c>
      <c r="E11" s="2" t="s">
        <v>69</v>
      </c>
      <c r="F11" s="2" t="s">
        <v>58</v>
      </c>
    </row>
    <row r="12" spans="1:6" ht="25">
      <c r="A12" s="2" t="s">
        <v>70</v>
      </c>
      <c r="B12" s="2" t="s">
        <v>71</v>
      </c>
      <c r="C12" s="2"/>
      <c r="D12" s="2" t="s">
        <v>45</v>
      </c>
      <c r="E12" s="2" t="s">
        <v>72</v>
      </c>
      <c r="F12" s="2" t="s">
        <v>58</v>
      </c>
    </row>
    <row r="13" spans="1:6" ht="25">
      <c r="A13" s="2" t="s">
        <v>73</v>
      </c>
      <c r="B13" s="2" t="s">
        <v>74</v>
      </c>
      <c r="C13" s="2"/>
      <c r="D13" s="2" t="s">
        <v>45</v>
      </c>
      <c r="E13" s="2" t="s">
        <v>75</v>
      </c>
      <c r="F13" s="2" t="s">
        <v>58</v>
      </c>
    </row>
    <row r="14" spans="1:6">
      <c r="A14" s="2" t="s">
        <v>76</v>
      </c>
      <c r="B14" s="2" t="s">
        <v>77</v>
      </c>
      <c r="C14" s="2"/>
      <c r="D14" s="2" t="s">
        <v>45</v>
      </c>
      <c r="E14" s="2" t="s">
        <v>78</v>
      </c>
      <c r="F14" s="2" t="s">
        <v>58</v>
      </c>
    </row>
    <row r="15" spans="1:6">
      <c r="A15" t="s">
        <v>79</v>
      </c>
      <c r="B15" t="s">
        <v>80</v>
      </c>
      <c r="D15" t="s">
        <v>45</v>
      </c>
      <c r="E15" t="s">
        <v>81</v>
      </c>
      <c r="F15" t="s">
        <v>58</v>
      </c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sqref="A1:K1"/>
    </sheetView>
  </sheetViews>
  <sheetFormatPr defaultRowHeight="14"/>
  <cols>
    <col min="1" max="1" width="18" customWidth="1"/>
    <col min="2" max="2" width="23" customWidth="1"/>
    <col min="3" max="4" width="24" customWidth="1"/>
    <col min="5" max="5" width="11" customWidth="1"/>
    <col min="6" max="6" width="16" customWidth="1"/>
    <col min="7" max="7" width="34" customWidth="1"/>
    <col min="8" max="8" width="24" customWidth="1"/>
    <col min="9" max="9" width="15" customWidth="1"/>
    <col min="10" max="10" width="18" customWidth="1"/>
    <col min="11" max="11" width="28" customWidth="1"/>
  </cols>
  <sheetData>
    <row r="1" spans="1:11" ht="28" customHeight="1">
      <c r="A1" s="14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4" customHeight="1">
      <c r="A2" s="17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4" customHeight="1">
      <c r="A3" s="1" t="s">
        <v>84</v>
      </c>
      <c r="B3" s="1" t="s">
        <v>85</v>
      </c>
      <c r="C3" s="1" t="s">
        <v>86</v>
      </c>
      <c r="D3" s="1" t="s">
        <v>87</v>
      </c>
      <c r="E3" s="1" t="s">
        <v>39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</row>
    <row r="4" spans="1:11">
      <c r="A4" s="2" t="s">
        <v>66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101</v>
      </c>
      <c r="J4" s="2" t="s">
        <v>66</v>
      </c>
      <c r="K4" s="2" t="s">
        <v>102</v>
      </c>
    </row>
    <row r="5" spans="1:11">
      <c r="A5" s="2" t="s">
        <v>66</v>
      </c>
      <c r="B5" s="2" t="s">
        <v>103</v>
      </c>
      <c r="C5" s="2" t="s">
        <v>104</v>
      </c>
      <c r="D5" s="2" t="s">
        <v>105</v>
      </c>
      <c r="E5" s="2" t="s">
        <v>97</v>
      </c>
      <c r="F5" s="2" t="s">
        <v>98</v>
      </c>
      <c r="G5" s="2" t="s">
        <v>106</v>
      </c>
      <c r="H5" s="2" t="s">
        <v>100</v>
      </c>
      <c r="I5" s="2" t="s">
        <v>101</v>
      </c>
      <c r="J5" s="2" t="s">
        <v>66</v>
      </c>
      <c r="K5" s="2" t="s">
        <v>107</v>
      </c>
    </row>
    <row r="6" spans="1:11" ht="25">
      <c r="A6" s="2" t="s">
        <v>66</v>
      </c>
      <c r="B6" s="2" t="s">
        <v>108</v>
      </c>
      <c r="C6" s="2" t="s">
        <v>109</v>
      </c>
      <c r="D6" s="2" t="s">
        <v>110</v>
      </c>
      <c r="E6" s="2" t="s">
        <v>97</v>
      </c>
      <c r="F6" s="2" t="s">
        <v>98</v>
      </c>
      <c r="G6" s="2" t="s">
        <v>111</v>
      </c>
      <c r="H6" s="2" t="s">
        <v>100</v>
      </c>
      <c r="I6" s="2" t="s">
        <v>101</v>
      </c>
      <c r="J6" s="2" t="s">
        <v>66</v>
      </c>
      <c r="K6" s="2" t="s">
        <v>112</v>
      </c>
    </row>
    <row r="7" spans="1:11">
      <c r="A7" s="2" t="s">
        <v>113</v>
      </c>
      <c r="B7" s="2" t="s">
        <v>114</v>
      </c>
      <c r="C7" s="2" t="s">
        <v>115</v>
      </c>
      <c r="D7" s="2" t="s">
        <v>116</v>
      </c>
      <c r="E7" s="2" t="s">
        <v>97</v>
      </c>
      <c r="F7" s="2" t="s">
        <v>98</v>
      </c>
      <c r="G7" s="2" t="s">
        <v>117</v>
      </c>
      <c r="H7" s="2" t="s">
        <v>100</v>
      </c>
      <c r="I7" s="2" t="s">
        <v>101</v>
      </c>
      <c r="J7" s="2" t="s">
        <v>66</v>
      </c>
      <c r="K7" s="2" t="s">
        <v>118</v>
      </c>
    </row>
    <row r="8" spans="1:11">
      <c r="A8" s="2" t="s">
        <v>113</v>
      </c>
      <c r="B8" s="2" t="s">
        <v>114</v>
      </c>
      <c r="C8" s="2" t="s">
        <v>119</v>
      </c>
      <c r="D8" s="2" t="s">
        <v>120</v>
      </c>
      <c r="E8" s="2" t="s">
        <v>97</v>
      </c>
      <c r="F8" s="2" t="s">
        <v>98</v>
      </c>
      <c r="G8" s="2" t="s">
        <v>121</v>
      </c>
      <c r="H8" s="2" t="s">
        <v>100</v>
      </c>
      <c r="I8" s="2" t="s">
        <v>101</v>
      </c>
      <c r="J8" s="2" t="s">
        <v>66</v>
      </c>
      <c r="K8" s="2" t="s">
        <v>118</v>
      </c>
    </row>
    <row r="9" spans="1:11">
      <c r="A9" s="2" t="s">
        <v>122</v>
      </c>
      <c r="B9" s="2" t="s">
        <v>123</v>
      </c>
      <c r="C9" s="2" t="s">
        <v>124</v>
      </c>
      <c r="D9" s="2" t="s">
        <v>125</v>
      </c>
      <c r="E9" s="2" t="s">
        <v>126</v>
      </c>
      <c r="F9" s="2" t="s">
        <v>127</v>
      </c>
      <c r="G9" s="2" t="s">
        <v>128</v>
      </c>
      <c r="H9" s="2" t="s">
        <v>129</v>
      </c>
      <c r="I9" s="2" t="s">
        <v>101</v>
      </c>
      <c r="J9" s="2" t="s">
        <v>130</v>
      </c>
      <c r="K9" s="2" t="s">
        <v>131</v>
      </c>
    </row>
    <row r="10" spans="1:11">
      <c r="A10" s="2" t="s">
        <v>122</v>
      </c>
      <c r="B10" s="2" t="s">
        <v>123</v>
      </c>
      <c r="C10" s="2" t="s">
        <v>132</v>
      </c>
      <c r="D10" s="2" t="s">
        <v>133</v>
      </c>
      <c r="E10" s="2" t="s">
        <v>126</v>
      </c>
      <c r="F10" s="2" t="s">
        <v>127</v>
      </c>
      <c r="G10" s="2" t="s">
        <v>128</v>
      </c>
      <c r="H10" s="2" t="s">
        <v>129</v>
      </c>
      <c r="I10" s="2" t="s">
        <v>101</v>
      </c>
      <c r="J10" s="2" t="s">
        <v>130</v>
      </c>
      <c r="K10" s="2" t="s">
        <v>131</v>
      </c>
    </row>
    <row r="11" spans="1:11">
      <c r="A11" s="2" t="s">
        <v>134</v>
      </c>
      <c r="B11" s="2" t="s">
        <v>135</v>
      </c>
      <c r="C11" s="2" t="s">
        <v>136</v>
      </c>
      <c r="D11" s="2" t="s">
        <v>137</v>
      </c>
      <c r="E11" s="2" t="s">
        <v>97</v>
      </c>
      <c r="F11" s="2" t="s">
        <v>98</v>
      </c>
      <c r="G11" s="2" t="s">
        <v>138</v>
      </c>
      <c r="H11" s="2" t="s">
        <v>139</v>
      </c>
      <c r="I11" s="2" t="s">
        <v>101</v>
      </c>
      <c r="J11" s="2" t="s">
        <v>140</v>
      </c>
      <c r="K11" s="2" t="s">
        <v>141</v>
      </c>
    </row>
    <row r="12" spans="1:11">
      <c r="A12" s="2" t="s">
        <v>134</v>
      </c>
      <c r="B12" s="2" t="s">
        <v>135</v>
      </c>
      <c r="C12" s="2" t="s">
        <v>142</v>
      </c>
      <c r="D12" s="2" t="s">
        <v>143</v>
      </c>
      <c r="E12" s="2" t="s">
        <v>97</v>
      </c>
      <c r="F12" s="2" t="s">
        <v>98</v>
      </c>
      <c r="G12" s="2" t="s">
        <v>138</v>
      </c>
      <c r="H12" s="2" t="s">
        <v>139</v>
      </c>
      <c r="I12" s="2" t="s">
        <v>101</v>
      </c>
      <c r="J12" s="2" t="s">
        <v>140</v>
      </c>
      <c r="K12" s="2" t="s">
        <v>141</v>
      </c>
    </row>
    <row r="13" spans="1:11">
      <c r="A13" s="2" t="s">
        <v>134</v>
      </c>
      <c r="B13" s="2" t="s">
        <v>144</v>
      </c>
      <c r="C13" s="2" t="s">
        <v>145</v>
      </c>
      <c r="D13" s="2" t="s">
        <v>146</v>
      </c>
      <c r="E13" s="2" t="s">
        <v>97</v>
      </c>
      <c r="F13" s="2" t="s">
        <v>98</v>
      </c>
      <c r="G13" s="2" t="s">
        <v>147</v>
      </c>
      <c r="H13" s="2" t="s">
        <v>139</v>
      </c>
      <c r="I13" s="2" t="s">
        <v>101</v>
      </c>
      <c r="J13" s="2" t="s">
        <v>140</v>
      </c>
      <c r="K13" s="2" t="s">
        <v>148</v>
      </c>
    </row>
    <row r="14" spans="1:11">
      <c r="A14" s="2" t="s">
        <v>134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155</v>
      </c>
      <c r="I14" s="2" t="s">
        <v>101</v>
      </c>
      <c r="J14" s="2" t="s">
        <v>130</v>
      </c>
      <c r="K14" s="2" t="s">
        <v>156</v>
      </c>
    </row>
    <row r="15" spans="1:11">
      <c r="A15" s="2" t="s">
        <v>134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  <c r="H15" s="2" t="s">
        <v>155</v>
      </c>
      <c r="I15" s="2" t="s">
        <v>101</v>
      </c>
      <c r="J15" s="2" t="s">
        <v>58</v>
      </c>
      <c r="K15" s="2" t="s">
        <v>163</v>
      </c>
    </row>
    <row r="16" spans="1:11">
      <c r="A16" s="2" t="s">
        <v>164</v>
      </c>
      <c r="B16" s="2" t="s">
        <v>165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101</v>
      </c>
      <c r="J16" s="2" t="s">
        <v>172</v>
      </c>
      <c r="K16" s="2" t="s">
        <v>173</v>
      </c>
    </row>
    <row r="17" spans="1:11">
      <c r="A17" s="2" t="s">
        <v>164</v>
      </c>
      <c r="B17" s="2" t="s">
        <v>174</v>
      </c>
      <c r="C17" s="2" t="s">
        <v>175</v>
      </c>
      <c r="D17" s="2" t="s">
        <v>176</v>
      </c>
      <c r="E17" s="2" t="s">
        <v>177</v>
      </c>
      <c r="F17" s="2" t="s">
        <v>161</v>
      </c>
      <c r="G17" s="2" t="s">
        <v>178</v>
      </c>
      <c r="H17" s="2" t="s">
        <v>155</v>
      </c>
      <c r="I17" s="2" t="s">
        <v>101</v>
      </c>
      <c r="J17" s="2" t="s">
        <v>58</v>
      </c>
      <c r="K17" s="2" t="s">
        <v>163</v>
      </c>
    </row>
    <row r="18" spans="1:11">
      <c r="A18" s="2" t="s">
        <v>179</v>
      </c>
      <c r="B18" s="2" t="s">
        <v>180</v>
      </c>
      <c r="C18" s="2" t="s">
        <v>181</v>
      </c>
      <c r="D18" s="2" t="s">
        <v>182</v>
      </c>
      <c r="E18" s="2" t="s">
        <v>183</v>
      </c>
      <c r="F18" s="2" t="s">
        <v>184</v>
      </c>
      <c r="G18" s="2" t="s">
        <v>185</v>
      </c>
      <c r="H18" s="2" t="s">
        <v>186</v>
      </c>
      <c r="I18" s="2" t="s">
        <v>101</v>
      </c>
      <c r="J18" s="2" t="s">
        <v>187</v>
      </c>
      <c r="K18" s="2" t="s">
        <v>188</v>
      </c>
    </row>
    <row r="19" spans="1:11">
      <c r="A19" s="2" t="s">
        <v>189</v>
      </c>
      <c r="B19" s="2" t="s">
        <v>190</v>
      </c>
      <c r="C19" s="2" t="s">
        <v>191</v>
      </c>
      <c r="D19" s="2" t="s">
        <v>192</v>
      </c>
      <c r="E19" s="2" t="s">
        <v>183</v>
      </c>
      <c r="F19" s="2" t="s">
        <v>193</v>
      </c>
      <c r="G19" s="2" t="s">
        <v>194</v>
      </c>
      <c r="H19" s="2" t="s">
        <v>195</v>
      </c>
      <c r="I19" s="2" t="s">
        <v>196</v>
      </c>
      <c r="J19" s="2" t="s">
        <v>58</v>
      </c>
      <c r="K19" s="2" t="s">
        <v>197</v>
      </c>
    </row>
    <row r="20" spans="1:11">
      <c r="A20" t="s">
        <v>66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100</v>
      </c>
      <c r="I20" t="s">
        <v>101</v>
      </c>
      <c r="J20" t="s">
        <v>66</v>
      </c>
      <c r="K20" t="s">
        <v>204</v>
      </c>
    </row>
    <row r="21" spans="1:11">
      <c r="A21" t="s">
        <v>122</v>
      </c>
      <c r="B21" t="s">
        <v>123</v>
      </c>
      <c r="C21" t="s">
        <v>205</v>
      </c>
      <c r="D21" t="s">
        <v>206</v>
      </c>
      <c r="E21" t="s">
        <v>126</v>
      </c>
      <c r="F21" t="s">
        <v>127</v>
      </c>
      <c r="G21" t="s">
        <v>207</v>
      </c>
      <c r="H21" t="s">
        <v>129</v>
      </c>
      <c r="I21" t="s">
        <v>101</v>
      </c>
      <c r="J21" t="s">
        <v>130</v>
      </c>
      <c r="K21" t="s">
        <v>208</v>
      </c>
    </row>
    <row r="22" spans="1:11">
      <c r="A22" t="s">
        <v>134</v>
      </c>
      <c r="B22" t="s">
        <v>135</v>
      </c>
      <c r="C22" t="s">
        <v>142</v>
      </c>
      <c r="D22" t="s">
        <v>143</v>
      </c>
      <c r="E22" t="s">
        <v>97</v>
      </c>
      <c r="F22" t="s">
        <v>98</v>
      </c>
      <c r="G22" t="s">
        <v>138</v>
      </c>
      <c r="H22" t="s">
        <v>139</v>
      </c>
      <c r="I22" t="s">
        <v>101</v>
      </c>
      <c r="J22" t="s">
        <v>140</v>
      </c>
      <c r="K22" t="s">
        <v>141</v>
      </c>
    </row>
    <row r="23" spans="1:11">
      <c r="A23" t="s">
        <v>134</v>
      </c>
      <c r="B23" t="s">
        <v>144</v>
      </c>
      <c r="C23" t="s">
        <v>209</v>
      </c>
      <c r="D23" t="s">
        <v>210</v>
      </c>
      <c r="E23" t="s">
        <v>97</v>
      </c>
      <c r="F23" t="s">
        <v>98</v>
      </c>
      <c r="G23" t="s">
        <v>147</v>
      </c>
      <c r="H23" t="s">
        <v>139</v>
      </c>
      <c r="I23" t="s">
        <v>101</v>
      </c>
      <c r="J23" t="s">
        <v>140</v>
      </c>
      <c r="K23" t="s">
        <v>148</v>
      </c>
    </row>
    <row r="24" spans="1:11">
      <c r="A24" t="s">
        <v>211</v>
      </c>
      <c r="B24" t="s">
        <v>212</v>
      </c>
      <c r="C24" t="s">
        <v>213</v>
      </c>
      <c r="D24" t="s">
        <v>214</v>
      </c>
      <c r="E24" t="s">
        <v>97</v>
      </c>
      <c r="F24" t="s">
        <v>98</v>
      </c>
      <c r="G24" t="s">
        <v>215</v>
      </c>
      <c r="H24" t="s">
        <v>216</v>
      </c>
      <c r="I24" t="s">
        <v>101</v>
      </c>
      <c r="J24" t="s">
        <v>66</v>
      </c>
      <c r="K24" t="s">
        <v>217</v>
      </c>
    </row>
    <row r="25" spans="1:11">
      <c r="A25" t="s">
        <v>164</v>
      </c>
      <c r="B25" t="s">
        <v>218</v>
      </c>
      <c r="C25" t="s">
        <v>219</v>
      </c>
      <c r="D25" t="s">
        <v>220</v>
      </c>
      <c r="E25" t="s">
        <v>168</v>
      </c>
      <c r="F25" t="s">
        <v>169</v>
      </c>
      <c r="G25" t="s">
        <v>221</v>
      </c>
      <c r="H25" t="s">
        <v>171</v>
      </c>
      <c r="I25" t="s">
        <v>101</v>
      </c>
      <c r="J25" t="s">
        <v>172</v>
      </c>
      <c r="K25" t="s">
        <v>222</v>
      </c>
    </row>
  </sheetData>
  <mergeCells count="2"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selection sqref="A1:N1"/>
    </sheetView>
  </sheetViews>
  <sheetFormatPr defaultRowHeight="14"/>
  <cols>
    <col min="1" max="1" width="14" customWidth="1"/>
    <col min="2" max="2" width="12" customWidth="1"/>
    <col min="3" max="3" width="14" customWidth="1"/>
    <col min="4" max="4" width="20" customWidth="1"/>
    <col min="5" max="7" width="18" customWidth="1"/>
    <col min="8" max="8" width="14" customWidth="1"/>
    <col min="9" max="9" width="20" customWidth="1"/>
    <col min="10" max="10" width="18" customWidth="1"/>
    <col min="11" max="12" width="16" customWidth="1"/>
    <col min="13" max="13" width="12" customWidth="1"/>
    <col min="14" max="14" width="24" customWidth="1"/>
  </cols>
  <sheetData>
    <row r="1" spans="1:14" ht="28" customHeight="1">
      <c r="A1" s="14" t="s">
        <v>223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4" customHeight="1">
      <c r="A2" s="17" t="s">
        <v>224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4" customHeight="1">
      <c r="A3" s="1" t="s">
        <v>225</v>
      </c>
      <c r="B3" s="1" t="s">
        <v>226</v>
      </c>
      <c r="C3" s="1" t="s">
        <v>227</v>
      </c>
      <c r="D3" s="1" t="s">
        <v>228</v>
      </c>
      <c r="E3" s="1" t="s">
        <v>229</v>
      </c>
      <c r="F3" s="1" t="s">
        <v>230</v>
      </c>
      <c r="G3" s="1" t="s">
        <v>231</v>
      </c>
      <c r="H3" s="1" t="s">
        <v>232</v>
      </c>
      <c r="I3" s="1" t="s">
        <v>233</v>
      </c>
      <c r="J3" s="1" t="s">
        <v>234</v>
      </c>
      <c r="K3" s="1" t="s">
        <v>235</v>
      </c>
      <c r="L3" s="1" t="s">
        <v>182</v>
      </c>
      <c r="M3" s="1" t="s">
        <v>236</v>
      </c>
      <c r="N3" s="1" t="s">
        <v>41</v>
      </c>
    </row>
    <row r="4" spans="1:14" ht="37.5">
      <c r="A4" s="6">
        <v>45688</v>
      </c>
      <c r="B4" s="2" t="s">
        <v>56</v>
      </c>
      <c r="C4" s="2" t="s">
        <v>237</v>
      </c>
      <c r="D4" s="2" t="s">
        <v>15</v>
      </c>
      <c r="E4" s="7">
        <v>170000</v>
      </c>
      <c r="F4" s="7">
        <v>220000</v>
      </c>
      <c r="G4" s="7">
        <v>168300</v>
      </c>
      <c r="H4" s="7">
        <v>11000</v>
      </c>
      <c r="I4" s="7">
        <v>29700</v>
      </c>
      <c r="J4" s="7">
        <v>11000</v>
      </c>
      <c r="K4" s="8">
        <f>IFERROR(G4/F4,"")</f>
        <v>0.76500000000000001</v>
      </c>
      <c r="L4" s="2" t="s">
        <v>238</v>
      </c>
      <c r="M4" s="2" t="s">
        <v>239</v>
      </c>
      <c r="N4" s="2" t="s">
        <v>240</v>
      </c>
    </row>
    <row r="5" spans="1:14" ht="37.5">
      <c r="A5" s="6">
        <v>45716</v>
      </c>
      <c r="B5" s="2" t="s">
        <v>56</v>
      </c>
      <c r="C5" s="2" t="s">
        <v>237</v>
      </c>
      <c r="D5" s="2" t="s">
        <v>15</v>
      </c>
      <c r="E5" s="7">
        <v>165000</v>
      </c>
      <c r="F5" s="7">
        <v>215000</v>
      </c>
      <c r="G5" s="7">
        <v>164475</v>
      </c>
      <c r="H5" s="7">
        <v>10750</v>
      </c>
      <c r="I5" s="7">
        <v>29025</v>
      </c>
      <c r="J5" s="7">
        <v>10750</v>
      </c>
      <c r="K5" s="8">
        <f>IFERROR(G5/F5,"")</f>
        <v>0.76500000000000001</v>
      </c>
      <c r="L5" s="2" t="s">
        <v>241</v>
      </c>
      <c r="M5" s="2" t="s">
        <v>239</v>
      </c>
      <c r="N5" s="2" t="s">
        <v>242</v>
      </c>
    </row>
    <row r="6" spans="1:14" ht="37.5">
      <c r="A6" s="6">
        <v>45747</v>
      </c>
      <c r="B6" s="2" t="s">
        <v>56</v>
      </c>
      <c r="C6" s="2" t="s">
        <v>237</v>
      </c>
      <c r="D6" s="2" t="s">
        <v>15</v>
      </c>
      <c r="E6" s="7">
        <v>185000</v>
      </c>
      <c r="F6" s="7">
        <v>245000</v>
      </c>
      <c r="G6" s="7">
        <v>187425</v>
      </c>
      <c r="H6" s="7">
        <v>12250</v>
      </c>
      <c r="I6" s="7">
        <v>33075</v>
      </c>
      <c r="J6" s="7">
        <v>12250</v>
      </c>
      <c r="K6" s="8">
        <f>IFERROR(G6/F6,"")</f>
        <v>0.76500000000000001</v>
      </c>
      <c r="L6" s="2" t="s">
        <v>243</v>
      </c>
      <c r="M6" s="2" t="s">
        <v>239</v>
      </c>
      <c r="N6" s="2" t="s">
        <v>244</v>
      </c>
    </row>
  </sheetData>
  <mergeCells count="2">
    <mergeCell ref="A2:N2"/>
    <mergeCell ref="A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tabSelected="1" workbookViewId="0">
      <selection sqref="A1:L1"/>
    </sheetView>
  </sheetViews>
  <sheetFormatPr defaultRowHeight="14"/>
  <cols>
    <col min="1" max="1" width="14" customWidth="1"/>
    <col min="2" max="2" width="32" customWidth="1"/>
    <col min="3" max="3" width="14" customWidth="1"/>
    <col min="4" max="6" width="12" customWidth="1"/>
    <col min="7" max="7" width="18" customWidth="1"/>
    <col min="8" max="9" width="16" customWidth="1"/>
    <col min="10" max="10" width="22" customWidth="1"/>
    <col min="11" max="11" width="16" customWidth="1"/>
    <col min="12" max="12" width="12" customWidth="1"/>
  </cols>
  <sheetData>
    <row r="1" spans="1:12" ht="28" customHeight="1">
      <c r="A1" s="14" t="s">
        <v>245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4" customHeight="1">
      <c r="A2" s="17" t="s">
        <v>246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4" customHeight="1">
      <c r="A3" s="1" t="s">
        <v>225</v>
      </c>
      <c r="B3" s="1" t="s">
        <v>247</v>
      </c>
      <c r="C3" s="1" t="s">
        <v>248</v>
      </c>
      <c r="D3" s="1" t="s">
        <v>249</v>
      </c>
      <c r="E3" s="1" t="s">
        <v>250</v>
      </c>
      <c r="F3" s="1" t="s">
        <v>251</v>
      </c>
      <c r="G3" s="1" t="s">
        <v>252</v>
      </c>
      <c r="H3" s="1" t="s">
        <v>253</v>
      </c>
      <c r="I3" s="1" t="s">
        <v>254</v>
      </c>
      <c r="J3" s="1" t="s">
        <v>255</v>
      </c>
      <c r="K3" s="1" t="s">
        <v>182</v>
      </c>
      <c r="L3" s="1" t="s">
        <v>236</v>
      </c>
    </row>
    <row r="4" spans="1:12">
      <c r="A4" s="6">
        <v>45688</v>
      </c>
      <c r="B4" s="2" t="s">
        <v>256</v>
      </c>
      <c r="C4" s="7">
        <v>265000</v>
      </c>
      <c r="D4" s="9">
        <v>0.95</v>
      </c>
      <c r="E4" s="9">
        <v>0.02</v>
      </c>
      <c r="F4" s="9">
        <v>1.4999999999999999E-2</v>
      </c>
      <c r="G4" s="9">
        <v>1</v>
      </c>
      <c r="H4" s="7">
        <f>C4*D4*'07_Constants_EF_NCV'!$B$7</f>
        <v>110770</v>
      </c>
      <c r="I4" s="7">
        <f>C4*E4*'07_Constants_EF_NCV'!$B$8</f>
        <v>2766.6</v>
      </c>
      <c r="J4" s="7">
        <f>(H4+I4)*G4</f>
        <v>113536.6</v>
      </c>
      <c r="K4" s="2" t="s">
        <v>257</v>
      </c>
      <c r="L4" s="2" t="s">
        <v>239</v>
      </c>
    </row>
    <row r="5" spans="1:12">
      <c r="A5" s="6">
        <v>45716</v>
      </c>
      <c r="B5" s="2" t="s">
        <v>256</v>
      </c>
      <c r="C5" s="7">
        <v>257000</v>
      </c>
      <c r="D5" s="9">
        <v>0.95</v>
      </c>
      <c r="E5" s="9">
        <v>0.02</v>
      </c>
      <c r="F5" s="9">
        <v>1.4999999999999999E-2</v>
      </c>
      <c r="G5" s="9">
        <v>1</v>
      </c>
      <c r="H5" s="7">
        <f>C5*D5*'07_Constants_EF_NCV'!$B$7</f>
        <v>107426</v>
      </c>
      <c r="I5" s="7">
        <f>C5*E5*'07_Constants_EF_NCV'!$B$8</f>
        <v>2683.08</v>
      </c>
      <c r="J5" s="7">
        <f>(H5+I5)*G5</f>
        <v>110109.08</v>
      </c>
      <c r="K5" s="2" t="s">
        <v>258</v>
      </c>
      <c r="L5" s="2" t="s">
        <v>239</v>
      </c>
    </row>
    <row r="6" spans="1:12">
      <c r="A6" s="6">
        <v>45747</v>
      </c>
      <c r="B6" s="2" t="s">
        <v>256</v>
      </c>
      <c r="C6" s="7">
        <v>288000</v>
      </c>
      <c r="D6" s="9">
        <v>0.95</v>
      </c>
      <c r="E6" s="9">
        <v>0.02</v>
      </c>
      <c r="F6" s="9">
        <v>1.4999999999999999E-2</v>
      </c>
      <c r="G6" s="9">
        <v>1</v>
      </c>
      <c r="H6" s="7">
        <f>C6*D6*'07_Constants_EF_NCV'!$B$7</f>
        <v>120384</v>
      </c>
      <c r="I6" s="7">
        <f>C6*E6*'07_Constants_EF_NCV'!$B$8</f>
        <v>3006.7200000000003</v>
      </c>
      <c r="J6" s="7">
        <f>(H6+I6)*G6</f>
        <v>123390.72</v>
      </c>
      <c r="K6" s="2" t="s">
        <v>259</v>
      </c>
      <c r="L6" s="2" t="s">
        <v>239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/>
  </sheetViews>
  <sheetFormatPr defaultRowHeight="14"/>
  <cols>
    <col min="1" max="1" width="14" customWidth="1"/>
    <col min="2" max="2" width="16" customWidth="1"/>
    <col min="3" max="3" width="12" customWidth="1"/>
    <col min="4" max="4" width="8" customWidth="1"/>
    <col min="5" max="6" width="14" customWidth="1"/>
    <col min="7" max="8" width="16" customWidth="1"/>
    <col min="9" max="10" width="14" customWidth="1"/>
    <col min="11" max="11" width="12" customWidth="1"/>
    <col min="12" max="12" width="15" customWidth="1"/>
    <col min="13" max="14" width="20" customWidth="1"/>
    <col min="15" max="15" width="12" customWidth="1"/>
  </cols>
  <sheetData>
    <row r="1" spans="1:15" ht="28" customHeight="1">
      <c r="A1" s="14" t="s">
        <v>260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34" customHeight="1">
      <c r="A2" s="17" t="s">
        <v>261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4" customHeight="1">
      <c r="A3" s="1" t="s">
        <v>225</v>
      </c>
      <c r="B3" s="1" t="s">
        <v>262</v>
      </c>
      <c r="C3" s="1" t="s">
        <v>263</v>
      </c>
      <c r="D3" s="1" t="s">
        <v>39</v>
      </c>
      <c r="E3" s="1" t="s">
        <v>264</v>
      </c>
      <c r="F3" s="1" t="s">
        <v>265</v>
      </c>
      <c r="G3" s="1" t="s">
        <v>266</v>
      </c>
      <c r="H3" s="1" t="s">
        <v>267</v>
      </c>
      <c r="I3" s="1" t="s">
        <v>268</v>
      </c>
      <c r="J3" s="1" t="s">
        <v>269</v>
      </c>
      <c r="K3" s="1" t="s">
        <v>270</v>
      </c>
      <c r="L3" s="1" t="s">
        <v>271</v>
      </c>
      <c r="M3" s="1" t="s">
        <v>272</v>
      </c>
      <c r="N3" s="1" t="s">
        <v>182</v>
      </c>
      <c r="O3" s="1" t="s">
        <v>236</v>
      </c>
    </row>
    <row r="4" spans="1:15">
      <c r="A4" s="6">
        <v>45747</v>
      </c>
      <c r="B4" s="2" t="s">
        <v>273</v>
      </c>
      <c r="C4" s="7">
        <v>42000</v>
      </c>
      <c r="D4" s="2" t="s">
        <v>274</v>
      </c>
      <c r="E4" s="10">
        <v>32.5</v>
      </c>
      <c r="F4" s="10">
        <v>97.5</v>
      </c>
      <c r="G4" s="10">
        <v>0.99</v>
      </c>
      <c r="H4" s="9">
        <v>0</v>
      </c>
      <c r="I4" s="9">
        <f>1-H4</f>
        <v>1</v>
      </c>
      <c r="J4" s="7">
        <f>C4*E4</f>
        <v>1365000</v>
      </c>
      <c r="K4" s="7">
        <f>J4*'07_Constants_EF_NCV'!$B$4</f>
        <v>1365</v>
      </c>
      <c r="L4" s="7">
        <f>K4*F4*G4*I4</f>
        <v>131756.625</v>
      </c>
      <c r="M4" s="7">
        <f>K4*F4*G4*H4</f>
        <v>0</v>
      </c>
      <c r="N4" s="2" t="s">
        <v>275</v>
      </c>
      <c r="O4" s="2" t="s">
        <v>239</v>
      </c>
    </row>
    <row r="5" spans="1:15">
      <c r="A5" s="6">
        <v>45747</v>
      </c>
      <c r="B5" s="2" t="s">
        <v>276</v>
      </c>
      <c r="C5" s="7">
        <v>18000</v>
      </c>
      <c r="D5" s="2" t="s">
        <v>274</v>
      </c>
      <c r="E5" s="10">
        <v>25.8</v>
      </c>
      <c r="F5" s="10">
        <v>94.6</v>
      </c>
      <c r="G5" s="10">
        <v>0.99</v>
      </c>
      <c r="H5" s="9">
        <v>0</v>
      </c>
      <c r="I5" s="9">
        <f>1-H5</f>
        <v>1</v>
      </c>
      <c r="J5" s="7">
        <f>C5*E5</f>
        <v>464400</v>
      </c>
      <c r="K5" s="7">
        <f>J5*'07_Constants_EF_NCV'!$B$4</f>
        <v>464.40000000000003</v>
      </c>
      <c r="L5" s="7">
        <f>K5*F5*G5*I5</f>
        <v>43492.917600000001</v>
      </c>
      <c r="M5" s="7">
        <f>K5*F5*G5*H5</f>
        <v>0</v>
      </c>
      <c r="N5" s="2" t="s">
        <v>277</v>
      </c>
      <c r="O5" s="2" t="s">
        <v>239</v>
      </c>
    </row>
    <row r="6" spans="1:15">
      <c r="A6" s="6">
        <v>45747</v>
      </c>
      <c r="B6" s="2" t="s">
        <v>278</v>
      </c>
      <c r="C6" s="7">
        <v>8500</v>
      </c>
      <c r="D6" s="2" t="s">
        <v>274</v>
      </c>
      <c r="E6" s="10">
        <v>17</v>
      </c>
      <c r="F6" s="10">
        <v>85</v>
      </c>
      <c r="G6" s="10">
        <v>0.98</v>
      </c>
      <c r="H6" s="9">
        <v>0.5</v>
      </c>
      <c r="I6" s="9">
        <f>1-H6</f>
        <v>0.5</v>
      </c>
      <c r="J6" s="7">
        <f>C6*E6</f>
        <v>144500</v>
      </c>
      <c r="K6" s="7">
        <f>J6*'07_Constants_EF_NCV'!$B$4</f>
        <v>144.5</v>
      </c>
      <c r="L6" s="7">
        <f>K6*F6*G6*I6</f>
        <v>6018.4250000000002</v>
      </c>
      <c r="M6" s="7">
        <f>K6*F6*G6*H6</f>
        <v>6018.4250000000002</v>
      </c>
      <c r="N6" s="2" t="s">
        <v>279</v>
      </c>
      <c r="O6" s="2" t="s">
        <v>239</v>
      </c>
    </row>
    <row r="7" spans="1:15">
      <c r="A7" s="6">
        <v>45747</v>
      </c>
      <c r="B7" s="2" t="s">
        <v>280</v>
      </c>
      <c r="C7" s="7">
        <v>3200</v>
      </c>
      <c r="D7" s="2" t="s">
        <v>274</v>
      </c>
      <c r="E7" s="10">
        <v>31.4</v>
      </c>
      <c r="F7" s="10">
        <v>85</v>
      </c>
      <c r="G7" s="10">
        <v>0.98</v>
      </c>
      <c r="H7" s="9">
        <v>0.27</v>
      </c>
      <c r="I7" s="9">
        <f>1-H7</f>
        <v>0.73</v>
      </c>
      <c r="J7" s="7">
        <f>C7*E7</f>
        <v>100480</v>
      </c>
      <c r="K7" s="7">
        <f>J7*'07_Constants_EF_NCV'!$B$4</f>
        <v>100.48</v>
      </c>
      <c r="L7" s="7">
        <f>K7*F7*G7*I7</f>
        <v>6110.0883199999998</v>
      </c>
      <c r="M7" s="7">
        <f>K7*F7*G7*H7</f>
        <v>2259.8956800000001</v>
      </c>
      <c r="N7" s="2" t="s">
        <v>281</v>
      </c>
      <c r="O7" s="2" t="s">
        <v>239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/>
  </sheetViews>
  <sheetFormatPr defaultRowHeight="14"/>
  <cols>
    <col min="1" max="1" width="14" customWidth="1"/>
    <col min="2" max="2" width="28" customWidth="1"/>
    <col min="3" max="3" width="14" customWidth="1"/>
    <col min="4" max="4" width="18" customWidth="1"/>
    <col min="5" max="5" width="14" customWidth="1"/>
    <col min="6" max="8" width="18" customWidth="1"/>
    <col min="9" max="9" width="15" customWidth="1"/>
    <col min="10" max="10" width="16" customWidth="1"/>
    <col min="11" max="11" width="12" customWidth="1"/>
  </cols>
  <sheetData>
    <row r="1" spans="1:11" ht="28" customHeight="1">
      <c r="A1" s="14" t="s">
        <v>282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4" customHeight="1">
      <c r="A2" s="17" t="s">
        <v>283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4" customHeight="1">
      <c r="A3" s="1" t="s">
        <v>225</v>
      </c>
      <c r="B3" s="1" t="s">
        <v>284</v>
      </c>
      <c r="C3" s="1" t="s">
        <v>285</v>
      </c>
      <c r="D3" s="1" t="s">
        <v>286</v>
      </c>
      <c r="E3" s="1" t="s">
        <v>287</v>
      </c>
      <c r="F3" s="1" t="s">
        <v>288</v>
      </c>
      <c r="G3" s="1" t="s">
        <v>289</v>
      </c>
      <c r="H3" s="1" t="s">
        <v>290</v>
      </c>
      <c r="I3" s="1" t="s">
        <v>291</v>
      </c>
      <c r="J3" s="1" t="s">
        <v>182</v>
      </c>
      <c r="K3" s="1" t="s">
        <v>236</v>
      </c>
    </row>
    <row r="4" spans="1:11">
      <c r="A4" s="6">
        <v>45688</v>
      </c>
      <c r="B4" s="2" t="s">
        <v>292</v>
      </c>
      <c r="C4" s="7">
        <v>31000</v>
      </c>
      <c r="D4" s="8">
        <v>0.48780000000000001</v>
      </c>
      <c r="E4" s="7">
        <f>C4*D4</f>
        <v>15121.800000000001</v>
      </c>
      <c r="F4" s="7">
        <v>0</v>
      </c>
      <c r="G4" s="7">
        <v>0</v>
      </c>
      <c r="H4" s="7">
        <f>F4*G4</f>
        <v>0</v>
      </c>
      <c r="I4" s="2">
        <v>0</v>
      </c>
      <c r="J4" s="2" t="s">
        <v>293</v>
      </c>
      <c r="K4" s="2" t="s">
        <v>239</v>
      </c>
    </row>
    <row r="5" spans="1:11">
      <c r="A5" s="6">
        <v>45716</v>
      </c>
      <c r="B5" s="2" t="s">
        <v>292</v>
      </c>
      <c r="C5" s="7">
        <v>30000</v>
      </c>
      <c r="D5" s="8">
        <v>0.48780000000000001</v>
      </c>
      <c r="E5" s="7">
        <f>C5*D5</f>
        <v>14634</v>
      </c>
      <c r="F5" s="7">
        <v>0</v>
      </c>
      <c r="G5" s="7">
        <v>0</v>
      </c>
      <c r="H5" s="7">
        <f>F5*G5</f>
        <v>0</v>
      </c>
      <c r="I5" s="2">
        <v>0</v>
      </c>
      <c r="J5" s="2" t="s">
        <v>294</v>
      </c>
      <c r="K5" s="2" t="s">
        <v>239</v>
      </c>
    </row>
    <row r="6" spans="1:11">
      <c r="A6" s="6">
        <v>45747</v>
      </c>
      <c r="B6" s="2" t="s">
        <v>292</v>
      </c>
      <c r="C6" s="7">
        <v>34000</v>
      </c>
      <c r="D6" s="8">
        <v>0.48780000000000001</v>
      </c>
      <c r="E6" s="7">
        <f>C6*D6</f>
        <v>16585.2</v>
      </c>
      <c r="F6" s="7">
        <v>0</v>
      </c>
      <c r="G6" s="7">
        <v>0</v>
      </c>
      <c r="H6" s="7">
        <f>F6*G6</f>
        <v>0</v>
      </c>
      <c r="I6" s="2">
        <v>0</v>
      </c>
      <c r="J6" s="2" t="s">
        <v>295</v>
      </c>
      <c r="K6" s="2" t="s">
        <v>239</v>
      </c>
    </row>
  </sheetData>
  <mergeCells count="2"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/>
  </sheetViews>
  <sheetFormatPr defaultRowHeight="14"/>
  <cols>
    <col min="1" max="1" width="26" customWidth="1"/>
    <col min="2" max="2" width="12" customWidth="1"/>
    <col min="3" max="3" width="16" customWidth="1"/>
    <col min="4" max="4" width="44" customWidth="1"/>
    <col min="5" max="5" width="28" customWidth="1"/>
    <col min="6" max="6" width="18" customWidth="1"/>
    <col min="7" max="7" width="12" customWidth="1"/>
    <col min="8" max="8" width="48" customWidth="1"/>
  </cols>
  <sheetData>
    <row r="1" spans="1:8" ht="28" customHeight="1">
      <c r="A1" s="14" t="s">
        <v>296</v>
      </c>
      <c r="B1" s="15"/>
      <c r="C1" s="15"/>
      <c r="D1" s="15"/>
      <c r="E1" s="15"/>
      <c r="F1" s="15"/>
      <c r="G1" s="15"/>
      <c r="H1" s="15"/>
    </row>
    <row r="2" spans="1:8" ht="34" customHeight="1">
      <c r="A2" s="17" t="s">
        <v>297</v>
      </c>
      <c r="B2" s="15"/>
      <c r="C2" s="15"/>
      <c r="D2" s="15"/>
      <c r="E2" s="15"/>
      <c r="F2" s="15"/>
      <c r="G2" s="15"/>
      <c r="H2" s="15"/>
    </row>
    <row r="3" spans="1:8" ht="24" customHeight="1">
      <c r="A3" s="1" t="s">
        <v>298</v>
      </c>
      <c r="B3" s="1" t="s">
        <v>3</v>
      </c>
      <c r="C3" s="1" t="s">
        <v>39</v>
      </c>
      <c r="D3" s="1" t="s">
        <v>299</v>
      </c>
      <c r="E3" s="1" t="s">
        <v>300</v>
      </c>
      <c r="F3" s="1" t="s">
        <v>301</v>
      </c>
      <c r="G3" s="1" t="s">
        <v>8</v>
      </c>
      <c r="H3" s="1" t="s">
        <v>302</v>
      </c>
    </row>
    <row r="4" spans="1:8">
      <c r="A4" s="2" t="s">
        <v>303</v>
      </c>
      <c r="B4" s="8">
        <v>1E-3</v>
      </c>
      <c r="C4" s="2" t="s">
        <v>304</v>
      </c>
      <c r="D4" s="2" t="s">
        <v>305</v>
      </c>
      <c r="E4" s="2" t="s">
        <v>306</v>
      </c>
      <c r="F4" s="2" t="s">
        <v>307</v>
      </c>
      <c r="G4" s="2" t="s">
        <v>308</v>
      </c>
      <c r="H4" s="2"/>
    </row>
    <row r="5" spans="1:8">
      <c r="A5" s="2" t="s">
        <v>309</v>
      </c>
      <c r="B5" s="8">
        <v>0.48780000000000001</v>
      </c>
      <c r="C5" s="2" t="s">
        <v>177</v>
      </c>
      <c r="D5" s="2" t="s">
        <v>310</v>
      </c>
      <c r="E5" s="2" t="s">
        <v>171</v>
      </c>
      <c r="F5" s="2" t="s">
        <v>311</v>
      </c>
      <c r="G5" s="2" t="s">
        <v>312</v>
      </c>
      <c r="H5" s="2"/>
    </row>
    <row r="6" spans="1:8" ht="25">
      <c r="A6" s="2" t="s">
        <v>313</v>
      </c>
      <c r="B6" s="8">
        <v>0.53249999999999997</v>
      </c>
      <c r="C6" s="2" t="s">
        <v>314</v>
      </c>
      <c r="D6" s="2" t="s">
        <v>315</v>
      </c>
      <c r="E6" s="2" t="s">
        <v>316</v>
      </c>
      <c r="F6" s="2" t="s">
        <v>311</v>
      </c>
      <c r="G6" s="2" t="s">
        <v>312</v>
      </c>
      <c r="H6" s="2"/>
    </row>
    <row r="7" spans="1:8">
      <c r="A7" s="2" t="s">
        <v>317</v>
      </c>
      <c r="B7" s="8">
        <v>0.44</v>
      </c>
      <c r="C7" s="2" t="s">
        <v>318</v>
      </c>
      <c r="D7" s="2" t="s">
        <v>319</v>
      </c>
      <c r="E7" s="2" t="s">
        <v>320</v>
      </c>
      <c r="F7" s="2" t="s">
        <v>307</v>
      </c>
      <c r="G7" s="2" t="s">
        <v>308</v>
      </c>
      <c r="H7" s="2"/>
    </row>
    <row r="8" spans="1:8">
      <c r="A8" s="2" t="s">
        <v>321</v>
      </c>
      <c r="B8" s="8">
        <v>0.52200000000000002</v>
      </c>
      <c r="C8" s="2" t="s">
        <v>322</v>
      </c>
      <c r="D8" s="2" t="s">
        <v>323</v>
      </c>
      <c r="E8" s="2" t="s">
        <v>320</v>
      </c>
      <c r="F8" s="2" t="s">
        <v>307</v>
      </c>
      <c r="G8" s="2" t="s">
        <v>308</v>
      </c>
      <c r="H8" s="2"/>
    </row>
    <row r="9" spans="1:8">
      <c r="A9" s="2" t="s">
        <v>324</v>
      </c>
      <c r="B9" s="8">
        <v>0.25</v>
      </c>
      <c r="C9" s="2" t="s">
        <v>325</v>
      </c>
      <c r="D9" s="2" t="s">
        <v>326</v>
      </c>
      <c r="E9" s="2" t="s">
        <v>327</v>
      </c>
      <c r="F9" s="2" t="s">
        <v>311</v>
      </c>
      <c r="G9" s="2" t="s">
        <v>312</v>
      </c>
      <c r="H9" s="2"/>
    </row>
    <row r="10" spans="1:8">
      <c r="A10" s="2" t="s">
        <v>328</v>
      </c>
      <c r="B10" s="8">
        <v>1</v>
      </c>
      <c r="C10" s="2" t="s">
        <v>325</v>
      </c>
      <c r="D10" s="2" t="s">
        <v>329</v>
      </c>
      <c r="E10" s="2" t="s">
        <v>327</v>
      </c>
      <c r="F10" s="2" t="s">
        <v>311</v>
      </c>
      <c r="G10" s="2" t="s">
        <v>312</v>
      </c>
      <c r="H10" s="2"/>
    </row>
    <row r="11" spans="1:8">
      <c r="A11" s="2" t="s">
        <v>330</v>
      </c>
      <c r="B11" s="8">
        <v>0.5</v>
      </c>
      <c r="C11" s="2" t="s">
        <v>314</v>
      </c>
      <c r="D11" s="2" t="s">
        <v>331</v>
      </c>
      <c r="E11" s="2" t="s">
        <v>327</v>
      </c>
      <c r="F11" s="2" t="s">
        <v>311</v>
      </c>
      <c r="G11" s="2" t="s">
        <v>312</v>
      </c>
      <c r="H11" s="2"/>
    </row>
    <row r="12" spans="1:8">
      <c r="A12" s="2" t="s">
        <v>332</v>
      </c>
      <c r="B12" s="8">
        <v>1.2</v>
      </c>
      <c r="C12" s="2" t="s">
        <v>314</v>
      </c>
      <c r="D12" s="2" t="s">
        <v>333</v>
      </c>
      <c r="E12" s="2" t="s">
        <v>327</v>
      </c>
      <c r="F12" s="2" t="s">
        <v>311</v>
      </c>
      <c r="G12" s="2" t="s">
        <v>312</v>
      </c>
      <c r="H12" s="2"/>
    </row>
    <row r="13" spans="1:8">
      <c r="A13" s="2" t="s">
        <v>334</v>
      </c>
      <c r="B13" s="8">
        <v>2.8</v>
      </c>
      <c r="C13" s="2" t="s">
        <v>335</v>
      </c>
      <c r="D13" s="2" t="s">
        <v>331</v>
      </c>
      <c r="E13" s="2" t="s">
        <v>327</v>
      </c>
      <c r="F13" s="2" t="s">
        <v>311</v>
      </c>
      <c r="G13" s="2" t="s">
        <v>312</v>
      </c>
      <c r="H13" s="2"/>
    </row>
    <row r="14" spans="1:8">
      <c r="A14" s="2" t="s">
        <v>336</v>
      </c>
      <c r="B14" s="8">
        <v>4.5</v>
      </c>
      <c r="C14" s="2" t="s">
        <v>335</v>
      </c>
      <c r="D14" s="2" t="s">
        <v>333</v>
      </c>
      <c r="E14" s="2" t="s">
        <v>327</v>
      </c>
      <c r="F14" s="2" t="s">
        <v>311</v>
      </c>
      <c r="G14" s="2" t="s">
        <v>312</v>
      </c>
      <c r="H14" s="2"/>
    </row>
    <row r="17" spans="1:8" ht="24" customHeight="1">
      <c r="A17" s="1" t="s">
        <v>262</v>
      </c>
      <c r="B17" s="1" t="s">
        <v>337</v>
      </c>
      <c r="C17" s="1" t="s">
        <v>338</v>
      </c>
      <c r="D17" s="1" t="s">
        <v>339</v>
      </c>
      <c r="E17" s="1" t="s">
        <v>340</v>
      </c>
      <c r="F17" s="1" t="s">
        <v>341</v>
      </c>
      <c r="G17" s="1" t="s">
        <v>342</v>
      </c>
      <c r="H17" s="1" t="s">
        <v>41</v>
      </c>
    </row>
    <row r="18" spans="1:8">
      <c r="A18" s="2" t="s">
        <v>273</v>
      </c>
      <c r="B18" s="10">
        <v>32.5</v>
      </c>
      <c r="C18" s="2" t="s">
        <v>152</v>
      </c>
      <c r="D18" s="10">
        <v>97.5</v>
      </c>
      <c r="E18" s="2" t="s">
        <v>160</v>
      </c>
      <c r="F18" s="9">
        <v>0.99</v>
      </c>
      <c r="G18" s="9">
        <v>0</v>
      </c>
      <c r="H18" s="2" t="s">
        <v>343</v>
      </c>
    </row>
    <row r="19" spans="1:8">
      <c r="A19" s="2" t="s">
        <v>276</v>
      </c>
      <c r="B19" s="10">
        <v>25.8</v>
      </c>
      <c r="C19" s="2" t="s">
        <v>152</v>
      </c>
      <c r="D19" s="10">
        <v>94.6</v>
      </c>
      <c r="E19" s="2" t="s">
        <v>160</v>
      </c>
      <c r="F19" s="9">
        <v>0.99</v>
      </c>
      <c r="G19" s="9">
        <v>0</v>
      </c>
      <c r="H19" s="2" t="s">
        <v>344</v>
      </c>
    </row>
    <row r="20" spans="1:8">
      <c r="A20" s="2" t="s">
        <v>278</v>
      </c>
      <c r="B20" s="10">
        <v>17</v>
      </c>
      <c r="C20" s="2" t="s">
        <v>152</v>
      </c>
      <c r="D20" s="10">
        <v>85</v>
      </c>
      <c r="E20" s="2" t="s">
        <v>160</v>
      </c>
      <c r="F20" s="9">
        <v>0.98</v>
      </c>
      <c r="G20" s="9">
        <v>0.5</v>
      </c>
      <c r="H20" s="2" t="s">
        <v>345</v>
      </c>
    </row>
    <row r="21" spans="1:8">
      <c r="A21" s="2" t="s">
        <v>280</v>
      </c>
      <c r="B21" s="10">
        <v>31.4</v>
      </c>
      <c r="C21" s="2" t="s">
        <v>152</v>
      </c>
      <c r="D21" s="10">
        <v>85</v>
      </c>
      <c r="E21" s="2" t="s">
        <v>160</v>
      </c>
      <c r="F21" s="9">
        <v>0.98</v>
      </c>
      <c r="G21" s="9">
        <v>0.27</v>
      </c>
      <c r="H21" s="2" t="s">
        <v>345</v>
      </c>
    </row>
    <row r="22" spans="1:8">
      <c r="A22" s="2" t="s">
        <v>346</v>
      </c>
      <c r="B22" s="10">
        <v>4.8000000000000001E-2</v>
      </c>
      <c r="C22" s="2" t="s">
        <v>347</v>
      </c>
      <c r="D22" s="10">
        <v>56.1</v>
      </c>
      <c r="E22" s="2" t="s">
        <v>160</v>
      </c>
      <c r="F22" s="9">
        <v>0.995</v>
      </c>
      <c r="G22" s="9">
        <v>0</v>
      </c>
      <c r="H22" s="2" t="s">
        <v>348</v>
      </c>
    </row>
    <row r="23" spans="1:8">
      <c r="A23" s="2" t="s">
        <v>349</v>
      </c>
      <c r="B23" s="10">
        <v>43</v>
      </c>
      <c r="C23" s="2" t="s">
        <v>152</v>
      </c>
      <c r="D23" s="10">
        <v>74.099999999999994</v>
      </c>
      <c r="E23" s="2" t="s">
        <v>160</v>
      </c>
      <c r="F23" s="9">
        <v>0.99</v>
      </c>
      <c r="G23" s="9">
        <v>0</v>
      </c>
      <c r="H23" s="2" t="s">
        <v>350</v>
      </c>
    </row>
    <row r="24" spans="1:8">
      <c r="A24" t="s">
        <v>351</v>
      </c>
      <c r="B24">
        <v>0</v>
      </c>
      <c r="C24" t="s">
        <v>177</v>
      </c>
      <c r="D24" t="s">
        <v>352</v>
      </c>
      <c r="E24" t="s">
        <v>171</v>
      </c>
      <c r="F24" t="s">
        <v>311</v>
      </c>
      <c r="G24" t="s">
        <v>312</v>
      </c>
    </row>
    <row r="25" spans="1:8">
      <c r="A25" t="s">
        <v>353</v>
      </c>
      <c r="B25">
        <v>0</v>
      </c>
      <c r="C25" t="s">
        <v>126</v>
      </c>
      <c r="D25" t="s">
        <v>354</v>
      </c>
      <c r="E25" t="s">
        <v>327</v>
      </c>
      <c r="F25" t="s">
        <v>311</v>
      </c>
      <c r="G25" t="s">
        <v>312</v>
      </c>
    </row>
    <row r="26" spans="1:8">
      <c r="A26" t="s">
        <v>355</v>
      </c>
      <c r="B26">
        <v>80</v>
      </c>
      <c r="C26" t="s">
        <v>126</v>
      </c>
      <c r="D26" t="s">
        <v>356</v>
      </c>
      <c r="E26" t="s">
        <v>327</v>
      </c>
      <c r="F26" t="s">
        <v>311</v>
      </c>
      <c r="G26" t="s">
        <v>312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workbookViewId="0"/>
  </sheetViews>
  <sheetFormatPr defaultRowHeight="14"/>
  <cols>
    <col min="1" max="1" width="34" customWidth="1"/>
    <col min="2" max="2" width="42" customWidth="1"/>
    <col min="3" max="4" width="18" customWidth="1"/>
    <col min="5" max="5" width="48" customWidth="1"/>
    <col min="6" max="6" width="20" customWidth="1"/>
  </cols>
  <sheetData>
    <row r="1" spans="1:8" ht="28" customHeight="1">
      <c r="A1" s="14" t="s">
        <v>357</v>
      </c>
      <c r="B1" s="15"/>
      <c r="C1" s="15"/>
      <c r="D1" s="15"/>
      <c r="E1" s="15"/>
      <c r="F1" s="15"/>
      <c r="G1" s="15"/>
      <c r="H1" s="15"/>
    </row>
    <row r="2" spans="1:8" ht="34" customHeight="1">
      <c r="A2" s="17" t="s">
        <v>358</v>
      </c>
      <c r="B2" s="15"/>
      <c r="C2" s="15"/>
      <c r="D2" s="15"/>
      <c r="E2" s="15"/>
      <c r="F2" s="15"/>
      <c r="G2" s="15"/>
      <c r="H2" s="15"/>
    </row>
    <row r="3" spans="1:8" ht="24" customHeight="1">
      <c r="A3" s="1" t="s">
        <v>359</v>
      </c>
      <c r="B3" s="1" t="s">
        <v>360</v>
      </c>
      <c r="C3" s="1" t="s">
        <v>3</v>
      </c>
      <c r="D3" s="1" t="s">
        <v>39</v>
      </c>
      <c r="E3" s="1" t="s">
        <v>4</v>
      </c>
      <c r="F3" s="1" t="s">
        <v>361</v>
      </c>
    </row>
    <row r="4" spans="1:8">
      <c r="A4" s="3" t="s">
        <v>96</v>
      </c>
      <c r="B4" s="2" t="s">
        <v>362</v>
      </c>
      <c r="C4" s="11">
        <f>SUM('03_Production_Input'!E4:E6)</f>
        <v>520000</v>
      </c>
      <c r="D4" s="2" t="s">
        <v>274</v>
      </c>
      <c r="E4" s="2" t="s">
        <v>363</v>
      </c>
      <c r="F4" s="2" t="s">
        <v>100</v>
      </c>
    </row>
    <row r="5" spans="1:8">
      <c r="A5" s="3" t="s">
        <v>105</v>
      </c>
      <c r="B5" s="2" t="s">
        <v>364</v>
      </c>
      <c r="C5" s="11">
        <f>SUM('03_Production_Input'!F4:F6)</f>
        <v>680000</v>
      </c>
      <c r="D5" s="2" t="s">
        <v>274</v>
      </c>
      <c r="E5" s="2" t="s">
        <v>365</v>
      </c>
      <c r="F5" s="2" t="s">
        <v>100</v>
      </c>
    </row>
    <row r="6" spans="1:8">
      <c r="A6" s="3" t="s">
        <v>110</v>
      </c>
      <c r="B6" s="2" t="s">
        <v>366</v>
      </c>
      <c r="C6" s="11">
        <f>SUM('03_Production_Input'!G4:G6)</f>
        <v>520200</v>
      </c>
      <c r="D6" s="2" t="s">
        <v>274</v>
      </c>
      <c r="E6" s="2" t="s">
        <v>367</v>
      </c>
      <c r="F6" s="2" t="s">
        <v>100</v>
      </c>
    </row>
    <row r="7" spans="1:8">
      <c r="A7" s="3" t="s">
        <v>235</v>
      </c>
      <c r="B7" s="2" t="s">
        <v>368</v>
      </c>
      <c r="C7" s="11">
        <f>C6/C5</f>
        <v>0.76500000000000001</v>
      </c>
      <c r="D7" s="2" t="s">
        <v>325</v>
      </c>
      <c r="E7" s="2" t="s">
        <v>369</v>
      </c>
      <c r="F7" s="2" t="s">
        <v>100</v>
      </c>
    </row>
    <row r="8" spans="1:8">
      <c r="A8" s="3" t="s">
        <v>370</v>
      </c>
      <c r="B8" s="2" t="s">
        <v>371</v>
      </c>
      <c r="C8" s="11">
        <f>SUM('04_Raw_Material_Input'!J4:J6)</f>
        <v>347036.4</v>
      </c>
      <c r="D8" s="2" t="s">
        <v>372</v>
      </c>
      <c r="E8" s="2" t="s">
        <v>373</v>
      </c>
      <c r="F8" s="2" t="s">
        <v>129</v>
      </c>
    </row>
    <row r="9" spans="1:8">
      <c r="A9" s="3" t="s">
        <v>374</v>
      </c>
      <c r="B9" s="2" t="s">
        <v>375</v>
      </c>
      <c r="C9" s="11">
        <f>C4*'07_Constants_EF_NCV'!$B$6</f>
        <v>276900</v>
      </c>
      <c r="D9" s="2" t="s">
        <v>372</v>
      </c>
      <c r="E9" s="2" t="s">
        <v>376</v>
      </c>
      <c r="F9" s="2" t="s">
        <v>377</v>
      </c>
    </row>
    <row r="10" spans="1:8">
      <c r="A10" s="3" t="s">
        <v>378</v>
      </c>
      <c r="B10" s="2" t="s">
        <v>379</v>
      </c>
      <c r="C10" s="11">
        <f>IF('01_Setup'!B12="Method A - carbonate input",C8,C9)</f>
        <v>276900</v>
      </c>
      <c r="D10" s="2" t="s">
        <v>372</v>
      </c>
      <c r="E10" s="2" t="s">
        <v>380</v>
      </c>
      <c r="F10" s="2" t="s">
        <v>381</v>
      </c>
    </row>
    <row r="11" spans="1:8">
      <c r="A11" s="3" t="s">
        <v>382</v>
      </c>
      <c r="B11" s="2" t="s">
        <v>383</v>
      </c>
      <c r="C11" s="11">
        <f>SUM('05_Kiln_Fuel_Input'!L4:L7)</f>
        <v>187378.05591999998</v>
      </c>
      <c r="D11" s="2" t="s">
        <v>372</v>
      </c>
      <c r="E11" s="2" t="s">
        <v>384</v>
      </c>
      <c r="F11" s="2" t="s">
        <v>139</v>
      </c>
    </row>
    <row r="12" spans="1:8">
      <c r="A12" s="3" t="s">
        <v>385</v>
      </c>
      <c r="B12" s="2" t="s">
        <v>386</v>
      </c>
      <c r="C12" s="11">
        <f>SUM('05_Kiln_Fuel_Input'!M4:M7)</f>
        <v>8278.3206800000007</v>
      </c>
      <c r="D12" s="2" t="s">
        <v>372</v>
      </c>
      <c r="E12" s="2" t="s">
        <v>387</v>
      </c>
      <c r="F12" s="2" t="s">
        <v>139</v>
      </c>
    </row>
    <row r="13" spans="1:8">
      <c r="A13" s="3" t="s">
        <v>388</v>
      </c>
      <c r="B13" s="2" t="s">
        <v>389</v>
      </c>
      <c r="C13" s="11">
        <f>C10+C11</f>
        <v>464278.05591999996</v>
      </c>
      <c r="D13" s="2" t="s">
        <v>372</v>
      </c>
      <c r="E13" s="2" t="s">
        <v>390</v>
      </c>
      <c r="F13" s="2" t="s">
        <v>216</v>
      </c>
    </row>
    <row r="14" spans="1:8">
      <c r="A14" s="3" t="s">
        <v>391</v>
      </c>
      <c r="B14" s="2" t="s">
        <v>392</v>
      </c>
      <c r="C14" s="11">
        <f>SUM('06_Electricity_Input'!C4:C6)</f>
        <v>95000</v>
      </c>
      <c r="D14" s="2" t="s">
        <v>168</v>
      </c>
      <c r="E14" s="2" t="s">
        <v>393</v>
      </c>
      <c r="F14" s="2" t="s">
        <v>171</v>
      </c>
    </row>
    <row r="15" spans="1:8">
      <c r="A15" s="3" t="s">
        <v>394</v>
      </c>
      <c r="B15" s="2" t="s">
        <v>395</v>
      </c>
      <c r="C15" s="11">
        <f>SUM('06_Electricity_Input'!E4:E6)</f>
        <v>46341</v>
      </c>
      <c r="D15" s="2" t="s">
        <v>372</v>
      </c>
      <c r="E15" s="2" t="s">
        <v>396</v>
      </c>
      <c r="F15" s="2" t="s">
        <v>171</v>
      </c>
    </row>
    <row r="16" spans="1:8">
      <c r="A16" s="3" t="s">
        <v>397</v>
      </c>
      <c r="B16" s="2" t="s">
        <v>398</v>
      </c>
      <c r="C16" s="11">
        <f>C13+C15</f>
        <v>510619.05591999996</v>
      </c>
      <c r="D16" s="2" t="s">
        <v>372</v>
      </c>
      <c r="E16" s="2" t="s">
        <v>399</v>
      </c>
      <c r="F16" s="2" t="s">
        <v>216</v>
      </c>
    </row>
    <row r="17" spans="1:6">
      <c r="A17" s="3" t="s">
        <v>400</v>
      </c>
      <c r="B17" s="2" t="s">
        <v>401</v>
      </c>
      <c r="C17" s="11">
        <f>C13/C4</f>
        <v>0.89284241523076913</v>
      </c>
      <c r="D17" s="2" t="s">
        <v>314</v>
      </c>
      <c r="E17" s="2" t="s">
        <v>402</v>
      </c>
      <c r="F17" s="2" t="s">
        <v>216</v>
      </c>
    </row>
    <row r="18" spans="1:6">
      <c r="A18" s="3" t="s">
        <v>403</v>
      </c>
      <c r="B18" s="2" t="s">
        <v>404</v>
      </c>
      <c r="C18" s="11">
        <f>C16/C5</f>
        <v>0.75091037635294111</v>
      </c>
      <c r="D18" s="2" t="s">
        <v>405</v>
      </c>
      <c r="E18" s="2" t="s">
        <v>406</v>
      </c>
      <c r="F18" s="2" t="s">
        <v>216</v>
      </c>
    </row>
    <row r="19" spans="1:6">
      <c r="A19" s="3" t="s">
        <v>407</v>
      </c>
      <c r="B19" s="2" t="s">
        <v>408</v>
      </c>
      <c r="C19" s="11">
        <f>SUM('05_Kiln_Fuel_Input'!J4:J7)/C4</f>
        <v>3.9891923076923077</v>
      </c>
      <c r="D19" s="2" t="s">
        <v>335</v>
      </c>
      <c r="E19" s="2" t="s">
        <v>409</v>
      </c>
      <c r="F19" s="2" t="s">
        <v>139</v>
      </c>
    </row>
    <row r="20" spans="1:6">
      <c r="A20" s="3" t="s">
        <v>410</v>
      </c>
      <c r="B20" s="2" t="s">
        <v>411</v>
      </c>
      <c r="C20" s="11" t="str">
        <f>IF(COUNTIF('11_Evidence_Register'!F4:F24,"Missing")&gt;0,"Review Required","Ready")</f>
        <v>Ready</v>
      </c>
      <c r="D20" s="2" t="s">
        <v>412</v>
      </c>
      <c r="E20" s="2" t="s">
        <v>413</v>
      </c>
      <c r="F20" s="2" t="s">
        <v>186</v>
      </c>
    </row>
    <row r="21" spans="1:6">
      <c r="A21" s="3" t="s">
        <v>414</v>
      </c>
      <c r="B21" s="2" t="s">
        <v>415</v>
      </c>
      <c r="C21" s="11" t="str">
        <f>IF(COUNTIF('09_QAQC_Checks'!F4:F30,"FAIL")&gt;0,"FAIL",IF(COUNTIF('09_QAQC_Checks'!F4:F30,"WARNING")&gt;0,"WARNING","PASS"))</f>
        <v>PASS</v>
      </c>
      <c r="D21" s="2" t="s">
        <v>412</v>
      </c>
      <c r="E21" s="2" t="s">
        <v>416</v>
      </c>
      <c r="F21" s="2" t="s">
        <v>327</v>
      </c>
    </row>
    <row r="22" spans="1:6">
      <c r="A22" s="4"/>
      <c r="C22" s="12"/>
    </row>
    <row r="23" spans="1:6">
      <c r="A23" s="4"/>
      <c r="C23" s="12"/>
    </row>
    <row r="24" spans="1:6">
      <c r="A24" s="4"/>
      <c r="C24" s="12"/>
    </row>
    <row r="25" spans="1:6">
      <c r="A25" s="4"/>
      <c r="C25" s="12"/>
    </row>
    <row r="26" spans="1:6">
      <c r="A26" s="4"/>
      <c r="C26" s="12"/>
    </row>
    <row r="27" spans="1:6">
      <c r="A27" s="4"/>
      <c r="C27" s="12"/>
    </row>
    <row r="28" spans="1:6">
      <c r="A28" s="4"/>
      <c r="C28" s="12"/>
    </row>
    <row r="29" spans="1:6">
      <c r="A29" s="4"/>
      <c r="C29" s="12"/>
    </row>
    <row r="30" spans="1:6">
      <c r="A30" s="4"/>
      <c r="C30" s="12"/>
    </row>
    <row r="31" spans="1:6">
      <c r="A31" t="s">
        <v>417</v>
      </c>
      <c r="B31" t="e">
        <f>Clinker Produced - Clinker Used</f>
        <v>#NAME?</v>
      </c>
      <c r="C31">
        <v>-200</v>
      </c>
      <c r="D31" t="s">
        <v>274</v>
      </c>
      <c r="E31" t="s">
        <v>418</v>
      </c>
      <c r="F31" t="s">
        <v>100</v>
      </c>
    </row>
    <row r="32" spans="1:6">
      <c r="A32" t="s">
        <v>419</v>
      </c>
      <c r="C32">
        <v>2074380</v>
      </c>
      <c r="D32" t="s">
        <v>420</v>
      </c>
      <c r="E32" t="s">
        <v>421</v>
      </c>
      <c r="F32" t="s">
        <v>139</v>
      </c>
    </row>
    <row r="33" spans="1:6">
      <c r="A33" t="s">
        <v>422</v>
      </c>
      <c r="B33" t="e">
        <f>RDF Energy + Tyre Chips Energy</f>
        <v>#NAME?</v>
      </c>
      <c r="C33">
        <v>244980</v>
      </c>
      <c r="D33" t="s">
        <v>420</v>
      </c>
      <c r="E33" t="s">
        <v>423</v>
      </c>
      <c r="F33" t="s">
        <v>139</v>
      </c>
    </row>
    <row r="34" spans="1:6">
      <c r="A34" t="s">
        <v>424</v>
      </c>
      <c r="B34" t="e">
        <f>Alt Fuel Energy / Total Fuel Energy * 100</f>
        <v>#NAME?</v>
      </c>
      <c r="C34">
        <v>11.81</v>
      </c>
      <c r="D34" t="s">
        <v>126</v>
      </c>
      <c r="E34" t="s">
        <v>425</v>
      </c>
      <c r="F34" t="s">
        <v>216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/>
  </sheetViews>
  <sheetFormatPr defaultRowHeight="14"/>
  <cols>
    <col min="1" max="1" width="11" customWidth="1"/>
    <col min="2" max="2" width="18" customWidth="1"/>
    <col min="3" max="3" width="28" customWidth="1"/>
    <col min="4" max="4" width="36" customWidth="1"/>
    <col min="5" max="5" width="18" customWidth="1"/>
    <col min="6" max="6" width="14" customWidth="1"/>
    <col min="7" max="7" width="12" customWidth="1"/>
    <col min="8" max="8" width="18" customWidth="1"/>
    <col min="9" max="9" width="42" customWidth="1"/>
  </cols>
  <sheetData>
    <row r="1" spans="1:9" ht="28" customHeight="1">
      <c r="A1" s="14" t="s">
        <v>426</v>
      </c>
      <c r="B1" s="15"/>
      <c r="C1" s="15"/>
      <c r="D1" s="15"/>
      <c r="E1" s="15"/>
      <c r="F1" s="15"/>
      <c r="G1" s="15"/>
      <c r="H1" s="15"/>
      <c r="I1" s="15"/>
    </row>
    <row r="2" spans="1:9" ht="34" customHeight="1">
      <c r="A2" s="17" t="s">
        <v>427</v>
      </c>
      <c r="B2" s="15"/>
      <c r="C2" s="15"/>
      <c r="D2" s="15"/>
      <c r="E2" s="15"/>
      <c r="F2" s="15"/>
      <c r="G2" s="15"/>
      <c r="H2" s="15"/>
      <c r="I2" s="15"/>
    </row>
    <row r="3" spans="1:9" ht="24" customHeight="1">
      <c r="A3" s="1" t="s">
        <v>428</v>
      </c>
      <c r="B3" s="1" t="s">
        <v>429</v>
      </c>
      <c r="C3" s="1" t="s">
        <v>430</v>
      </c>
      <c r="D3" s="1" t="s">
        <v>431</v>
      </c>
      <c r="E3" s="1" t="s">
        <v>432</v>
      </c>
      <c r="F3" s="1" t="s">
        <v>8</v>
      </c>
      <c r="G3" s="1" t="s">
        <v>433</v>
      </c>
      <c r="H3" s="1" t="s">
        <v>92</v>
      </c>
      <c r="I3" s="1" t="s">
        <v>434</v>
      </c>
    </row>
    <row r="4" spans="1:9">
      <c r="A4" s="2" t="s">
        <v>435</v>
      </c>
      <c r="B4" s="2" t="s">
        <v>436</v>
      </c>
      <c r="C4" s="2" t="s">
        <v>437</v>
      </c>
      <c r="D4" s="2" t="s">
        <v>438</v>
      </c>
      <c r="E4" s="8">
        <f>'08_Calculations'!C7</f>
        <v>0.76500000000000001</v>
      </c>
      <c r="F4" s="2" t="str">
        <f>IF(AND(E4&gt;='07_Constants_EF_NCV'!$B$9,E4&lt;='07_Constants_EF_NCV'!$B$10),"PASS","WARNING")</f>
        <v>PASS</v>
      </c>
      <c r="G4" s="2" t="s">
        <v>439</v>
      </c>
      <c r="H4" s="2" t="s">
        <v>66</v>
      </c>
      <c r="I4" s="2"/>
    </row>
    <row r="5" spans="1:9">
      <c r="A5" s="2" t="s">
        <v>440</v>
      </c>
      <c r="B5" s="2" t="s">
        <v>436</v>
      </c>
      <c r="C5" s="2" t="s">
        <v>441</v>
      </c>
      <c r="D5" s="2" t="s">
        <v>442</v>
      </c>
      <c r="E5" s="8" t="str">
        <f>IF('08_Calculations'!C5&gt;='08_Calculations'!C6,"OK","Mismatch")</f>
        <v>OK</v>
      </c>
      <c r="F5" s="2" t="str">
        <f>IF(E5="OK","PASS","FAIL")</f>
        <v>PASS</v>
      </c>
      <c r="G5" s="2" t="s">
        <v>443</v>
      </c>
      <c r="H5" s="2" t="s">
        <v>66</v>
      </c>
      <c r="I5" s="2"/>
    </row>
    <row r="6" spans="1:9">
      <c r="A6" s="2" t="s">
        <v>444</v>
      </c>
      <c r="B6" s="2" t="s">
        <v>436</v>
      </c>
      <c r="C6" s="2" t="s">
        <v>445</v>
      </c>
      <c r="D6" s="2" t="s">
        <v>446</v>
      </c>
      <c r="E6" s="8">
        <f>ABS(SUM('03_Production_Input'!G4:J6)-SUM('03_Production_Input'!F4:F6))/SUM('03_Production_Input'!F4:F6)</f>
        <v>0</v>
      </c>
      <c r="F6" s="2" t="str">
        <f>IF(E6&lt;=0.02,"PASS","WARNING")</f>
        <v>PASS</v>
      </c>
      <c r="G6" s="2" t="s">
        <v>439</v>
      </c>
      <c r="H6" s="2" t="s">
        <v>66</v>
      </c>
      <c r="I6" s="2"/>
    </row>
    <row r="7" spans="1:9">
      <c r="A7" s="2" t="s">
        <v>447</v>
      </c>
      <c r="B7" s="2" t="s">
        <v>448</v>
      </c>
      <c r="C7" s="2" t="s">
        <v>449</v>
      </c>
      <c r="D7" s="2" t="s">
        <v>450</v>
      </c>
      <c r="E7" s="8">
        <f>'08_Calculations'!C17</f>
        <v>0.89284241523076913</v>
      </c>
      <c r="F7" s="2" t="str">
        <f>IF(AND(E7&gt;='07_Constants_EF_NCV'!$B$11,E7&lt;='07_Constants_EF_NCV'!$B$12),"PASS","WARNING")</f>
        <v>PASS</v>
      </c>
      <c r="G7" s="2" t="s">
        <v>439</v>
      </c>
      <c r="H7" s="2" t="s">
        <v>58</v>
      </c>
      <c r="I7" s="2"/>
    </row>
    <row r="8" spans="1:9">
      <c r="A8" s="2" t="s">
        <v>451</v>
      </c>
      <c r="B8" s="2" t="s">
        <v>448</v>
      </c>
      <c r="C8" s="2" t="s">
        <v>452</v>
      </c>
      <c r="D8" s="2" t="s">
        <v>453</v>
      </c>
      <c r="E8" s="8">
        <f>'08_Calculations'!C18</f>
        <v>0.75091037635294111</v>
      </c>
      <c r="F8" s="2" t="str">
        <f>IF(AND(E8&gt;=0.2,E8&lt;=1.2),"PASS","WARNING")</f>
        <v>PASS</v>
      </c>
      <c r="G8" s="2" t="s">
        <v>439</v>
      </c>
      <c r="H8" s="2" t="s">
        <v>58</v>
      </c>
      <c r="I8" s="2"/>
    </row>
    <row r="9" spans="1:9">
      <c r="A9" s="2" t="s">
        <v>454</v>
      </c>
      <c r="B9" s="2" t="s">
        <v>134</v>
      </c>
      <c r="C9" s="2" t="s">
        <v>455</v>
      </c>
      <c r="D9" s="2" t="s">
        <v>456</v>
      </c>
      <c r="E9" s="8">
        <f>MIN('05_Kiln_Fuel_Input'!E4:E7)</f>
        <v>17</v>
      </c>
      <c r="F9" s="2" t="str">
        <f>IF(E9&gt;0,"PASS","FAIL")</f>
        <v>PASS</v>
      </c>
      <c r="G9" s="2" t="s">
        <v>443</v>
      </c>
      <c r="H9" s="2" t="s">
        <v>140</v>
      </c>
      <c r="I9" s="2"/>
    </row>
    <row r="10" spans="1:9">
      <c r="A10" s="2" t="s">
        <v>457</v>
      </c>
      <c r="B10" s="2" t="s">
        <v>134</v>
      </c>
      <c r="C10" s="2" t="s">
        <v>458</v>
      </c>
      <c r="D10" s="2" t="s">
        <v>459</v>
      </c>
      <c r="E10" s="8">
        <f>MIN('05_Kiln_Fuel_Input'!F4:F7)</f>
        <v>85</v>
      </c>
      <c r="F10" s="2" t="str">
        <f>IF(E10&gt;0,"PASS","FAIL")</f>
        <v>PASS</v>
      </c>
      <c r="G10" s="2" t="s">
        <v>443</v>
      </c>
      <c r="H10" s="2" t="s">
        <v>58</v>
      </c>
      <c r="I10" s="2"/>
    </row>
    <row r="11" spans="1:9">
      <c r="A11" s="2" t="s">
        <v>460</v>
      </c>
      <c r="B11" s="2" t="s">
        <v>134</v>
      </c>
      <c r="C11" s="2" t="s">
        <v>461</v>
      </c>
      <c r="D11" s="2" t="s">
        <v>462</v>
      </c>
      <c r="E11" s="8" t="str">
        <f>MIN('05_Kiln_Fuel_Input'!H4:H7)&amp;" to "&amp;MAX('05_Kiln_Fuel_Input'!H4:H7)</f>
        <v>0 to 0.5</v>
      </c>
      <c r="F11" s="2" t="str">
        <f>IF(AND(MIN('05_Kiln_Fuel_Input'!H4:H7)&gt;=0,MAX('05_Kiln_Fuel_Input'!H4:H7)&lt;=1),"PASS","FAIL")</f>
        <v>PASS</v>
      </c>
      <c r="G11" s="2" t="s">
        <v>443</v>
      </c>
      <c r="H11" s="2" t="s">
        <v>140</v>
      </c>
      <c r="I11" s="2"/>
    </row>
    <row r="12" spans="1:9">
      <c r="A12" s="2" t="s">
        <v>463</v>
      </c>
      <c r="B12" s="2" t="s">
        <v>134</v>
      </c>
      <c r="C12" s="2" t="s">
        <v>464</v>
      </c>
      <c r="D12" s="2" t="s">
        <v>465</v>
      </c>
      <c r="E12" s="8">
        <f>MIN('05_Kiln_Fuel_Input'!G4:G7)</f>
        <v>0.98</v>
      </c>
      <c r="F12" s="2" t="str">
        <f>IF(AND(E12&gt;=0.95,E12&lt;=1),"PASS","WARNING")</f>
        <v>PASS</v>
      </c>
      <c r="G12" s="2" t="s">
        <v>439</v>
      </c>
      <c r="H12" s="2" t="s">
        <v>58</v>
      </c>
      <c r="I12" s="2"/>
    </row>
    <row r="13" spans="1:9">
      <c r="A13" s="2" t="s">
        <v>466</v>
      </c>
      <c r="B13" s="2" t="s">
        <v>164</v>
      </c>
      <c r="C13" s="2" t="s">
        <v>467</v>
      </c>
      <c r="D13" s="2" t="s">
        <v>468</v>
      </c>
      <c r="E13" s="8">
        <f>MIN('06_Electricity_Input'!D4:D6)</f>
        <v>0.48780000000000001</v>
      </c>
      <c r="F13" s="2" t="str">
        <f>IF(E13&gt;0,"PASS","FAIL")</f>
        <v>PASS</v>
      </c>
      <c r="G13" s="2" t="s">
        <v>443</v>
      </c>
      <c r="H13" s="2" t="s">
        <v>172</v>
      </c>
      <c r="I13" s="2"/>
    </row>
    <row r="14" spans="1:9">
      <c r="A14" s="2" t="s">
        <v>469</v>
      </c>
      <c r="B14" s="2" t="s">
        <v>164</v>
      </c>
      <c r="C14" s="2" t="s">
        <v>470</v>
      </c>
      <c r="D14" s="2" t="s">
        <v>471</v>
      </c>
      <c r="E14" s="8">
        <f>SUM('06_Electricity_Input'!C4:C6)</f>
        <v>95000</v>
      </c>
      <c r="F14" s="2" t="str">
        <f>IF(E14&gt;0,"PASS","WARNING")</f>
        <v>PASS</v>
      </c>
      <c r="G14" s="2" t="s">
        <v>439</v>
      </c>
      <c r="H14" s="2" t="s">
        <v>172</v>
      </c>
      <c r="I14" s="2"/>
    </row>
    <row r="15" spans="1:9">
      <c r="A15" s="2" t="s">
        <v>472</v>
      </c>
      <c r="B15" s="2" t="s">
        <v>473</v>
      </c>
      <c r="C15" s="2" t="s">
        <v>474</v>
      </c>
      <c r="D15" s="2" t="s">
        <v>475</v>
      </c>
      <c r="E15" s="8">
        <f>'08_Calculations'!C10</f>
        <v>276900</v>
      </c>
      <c r="F15" s="2" t="str">
        <f>IF(E15&gt;0,"PASS","FAIL")</f>
        <v>PASS</v>
      </c>
      <c r="G15" s="2" t="s">
        <v>443</v>
      </c>
      <c r="H15" s="2" t="s">
        <v>58</v>
      </c>
      <c r="I15" s="2"/>
    </row>
    <row r="16" spans="1:9">
      <c r="A16" s="2" t="s">
        <v>476</v>
      </c>
      <c r="B16" s="2" t="s">
        <v>179</v>
      </c>
      <c r="C16" s="2" t="s">
        <v>477</v>
      </c>
      <c r="D16" s="2" t="s">
        <v>478</v>
      </c>
      <c r="E16" s="8">
        <f>COUNTIF('11_Evidence_Register'!F4:F24,"Missing")</f>
        <v>0</v>
      </c>
      <c r="F16" s="2" t="str">
        <f>IF(E16=0,"PASS","WARNING")</f>
        <v>PASS</v>
      </c>
      <c r="G16" s="2" t="s">
        <v>439</v>
      </c>
      <c r="H16" s="2" t="s">
        <v>187</v>
      </c>
      <c r="I16" s="2"/>
    </row>
    <row r="17" spans="1:9">
      <c r="A17" s="2" t="s">
        <v>479</v>
      </c>
      <c r="B17" s="2" t="s">
        <v>480</v>
      </c>
      <c r="C17" s="2" t="s">
        <v>481</v>
      </c>
      <c r="D17" s="2" t="s">
        <v>482</v>
      </c>
      <c r="E17" s="8" t="str">
        <f>'01_Setup'!B8&amp;" to "&amp;'01_Setup'!B9</f>
        <v>45658 to 45747</v>
      </c>
      <c r="F17" s="2" t="str">
        <f>"PASS"</f>
        <v>PASS</v>
      </c>
      <c r="G17" s="2" t="s">
        <v>443</v>
      </c>
      <c r="H17" s="2" t="s">
        <v>58</v>
      </c>
      <c r="I17" s="2" t="s">
        <v>483</v>
      </c>
    </row>
    <row r="18" spans="1:9">
      <c r="A18" t="s">
        <v>484</v>
      </c>
      <c r="B18" t="s">
        <v>436</v>
      </c>
      <c r="C18" t="s">
        <v>485</v>
      </c>
      <c r="D18" t="s">
        <v>486</v>
      </c>
      <c r="E18">
        <v>-200</v>
      </c>
      <c r="F18" t="s">
        <v>239</v>
      </c>
      <c r="G18" t="s">
        <v>439</v>
      </c>
      <c r="H18" t="s">
        <v>66</v>
      </c>
      <c r="I18" t="s">
        <v>487</v>
      </c>
    </row>
    <row r="19" spans="1:9">
      <c r="A19" t="s">
        <v>488</v>
      </c>
      <c r="B19" t="s">
        <v>448</v>
      </c>
      <c r="C19" t="s">
        <v>489</v>
      </c>
      <c r="D19" t="s">
        <v>490</v>
      </c>
      <c r="E19">
        <v>3.9889999999999999</v>
      </c>
      <c r="F19" t="s">
        <v>239</v>
      </c>
      <c r="G19" t="s">
        <v>439</v>
      </c>
      <c r="H19" t="s">
        <v>58</v>
      </c>
    </row>
    <row r="20" spans="1:9">
      <c r="A20" t="s">
        <v>491</v>
      </c>
      <c r="B20" t="s">
        <v>134</v>
      </c>
      <c r="C20" t="s">
        <v>492</v>
      </c>
      <c r="D20" t="s">
        <v>493</v>
      </c>
      <c r="E20">
        <v>11.81</v>
      </c>
      <c r="F20" t="s">
        <v>239</v>
      </c>
      <c r="G20" t="s">
        <v>439</v>
      </c>
      <c r="H20" t="s">
        <v>140</v>
      </c>
    </row>
    <row r="21" spans="1:9">
      <c r="A21" t="s">
        <v>494</v>
      </c>
      <c r="B21" t="s">
        <v>473</v>
      </c>
      <c r="C21" t="s">
        <v>495</v>
      </c>
      <c r="D21" t="s">
        <v>496</v>
      </c>
      <c r="E21" t="s">
        <v>497</v>
      </c>
      <c r="F21" t="s">
        <v>239</v>
      </c>
      <c r="G21" t="s">
        <v>443</v>
      </c>
      <c r="H21" t="s">
        <v>58</v>
      </c>
    </row>
  </sheetData>
  <mergeCells count="2">
    <mergeCell ref="A1:I1"/>
    <mergeCell ref="A2:I2"/>
  </mergeCells>
  <conditionalFormatting sqref="F4:F17">
    <cfRule type="expression" dxfId="2" priority="1">
      <formula>F4="PASS"</formula>
    </cfRule>
    <cfRule type="expression" dxfId="1" priority="2">
      <formula>F4="WARNING"</formula>
    </cfRule>
    <cfRule type="expression" dxfId="0" priority="3">
      <formula>F4="FAIL"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/>
  </sheetViews>
  <sheetFormatPr defaultRowHeight="14"/>
  <cols>
    <col min="1" max="1" width="34" customWidth="1"/>
    <col min="2" max="2" width="20" customWidth="1"/>
    <col min="3" max="3" width="18" customWidth="1"/>
    <col min="4" max="4" width="22" customWidth="1"/>
    <col min="5" max="5" width="34" customWidth="1"/>
    <col min="6" max="6" width="42" customWidth="1"/>
    <col min="7" max="8" width="28" customWidth="1"/>
  </cols>
  <sheetData>
    <row r="1" spans="1:8" ht="28" customHeight="1">
      <c r="A1" s="14" t="s">
        <v>498</v>
      </c>
      <c r="B1" s="15"/>
      <c r="C1" s="15"/>
      <c r="D1" s="15"/>
      <c r="E1" s="15"/>
      <c r="F1" s="15"/>
      <c r="G1" s="15"/>
      <c r="H1" s="15"/>
    </row>
    <row r="2" spans="1:8" ht="34" customHeight="1">
      <c r="A2" s="17" t="s">
        <v>499</v>
      </c>
      <c r="B2" s="15"/>
      <c r="C2" s="15"/>
      <c r="D2" s="15"/>
      <c r="E2" s="15"/>
      <c r="F2" s="15"/>
      <c r="G2" s="15"/>
      <c r="H2" s="15"/>
    </row>
    <row r="3" spans="1:8" ht="24" customHeight="1">
      <c r="A3" s="1" t="s">
        <v>500</v>
      </c>
      <c r="B3" s="1" t="s">
        <v>3</v>
      </c>
      <c r="C3" s="1" t="s">
        <v>39</v>
      </c>
      <c r="D3" s="1" t="s">
        <v>501</v>
      </c>
      <c r="E3" s="1" t="s">
        <v>502</v>
      </c>
      <c r="F3" s="1" t="s">
        <v>503</v>
      </c>
      <c r="G3" s="1" t="s">
        <v>504</v>
      </c>
      <c r="H3" s="1" t="s">
        <v>41</v>
      </c>
    </row>
    <row r="4" spans="1:8">
      <c r="A4" s="2" t="s">
        <v>226</v>
      </c>
      <c r="B4" s="2" t="str">
        <f>"Q1 2025"</f>
        <v>Q1 2025</v>
      </c>
      <c r="C4" s="2"/>
      <c r="D4" s="2" t="s">
        <v>381</v>
      </c>
      <c r="E4" s="2" t="s">
        <v>505</v>
      </c>
      <c r="F4" s="2" t="s">
        <v>506</v>
      </c>
      <c r="G4" s="2" t="s">
        <v>507</v>
      </c>
      <c r="H4" s="2" t="s">
        <v>508</v>
      </c>
    </row>
    <row r="5" spans="1:8">
      <c r="A5" s="2" t="s">
        <v>509</v>
      </c>
      <c r="B5" s="6">
        <f>'01_Setup'!B8</f>
        <v>45658</v>
      </c>
      <c r="C5" s="2" t="s">
        <v>60</v>
      </c>
      <c r="D5" s="2" t="s">
        <v>381</v>
      </c>
      <c r="E5" s="2" t="s">
        <v>59</v>
      </c>
      <c r="F5" s="2" t="s">
        <v>506</v>
      </c>
      <c r="G5" s="2" t="s">
        <v>510</v>
      </c>
      <c r="H5" s="2"/>
    </row>
    <row r="6" spans="1:8">
      <c r="A6" s="2" t="s">
        <v>511</v>
      </c>
      <c r="B6" s="6">
        <f>'01_Setup'!B9</f>
        <v>45747</v>
      </c>
      <c r="C6" s="2" t="s">
        <v>60</v>
      </c>
      <c r="D6" s="2" t="s">
        <v>381</v>
      </c>
      <c r="E6" s="2" t="s">
        <v>62</v>
      </c>
      <c r="F6" s="2" t="s">
        <v>506</v>
      </c>
      <c r="G6" s="2" t="s">
        <v>510</v>
      </c>
      <c r="H6" s="2"/>
    </row>
    <row r="7" spans="1:8">
      <c r="A7" s="2" t="s">
        <v>512</v>
      </c>
      <c r="B7" s="2" t="str">
        <f>'01_Setup'!B10</f>
        <v>CEM II/A-L 42.5N</v>
      </c>
      <c r="C7" s="2"/>
      <c r="D7" s="2" t="s">
        <v>381</v>
      </c>
      <c r="E7" s="2" t="s">
        <v>513</v>
      </c>
      <c r="F7" s="2" t="s">
        <v>514</v>
      </c>
      <c r="G7" s="2" t="s">
        <v>510</v>
      </c>
      <c r="H7" s="2"/>
    </row>
    <row r="8" spans="1:8">
      <c r="A8" s="2" t="s">
        <v>515</v>
      </c>
      <c r="B8" s="11">
        <f>'08_Calculations'!C4</f>
        <v>520000</v>
      </c>
      <c r="C8" s="2" t="s">
        <v>274</v>
      </c>
      <c r="D8" s="2" t="s">
        <v>216</v>
      </c>
      <c r="E8" s="2" t="s">
        <v>516</v>
      </c>
      <c r="F8" s="2" t="s">
        <v>517</v>
      </c>
      <c r="G8" s="2" t="s">
        <v>518</v>
      </c>
      <c r="H8" s="2"/>
    </row>
    <row r="9" spans="1:8">
      <c r="A9" s="2" t="s">
        <v>519</v>
      </c>
      <c r="B9" s="11">
        <f>'08_Calculations'!C5</f>
        <v>680000</v>
      </c>
      <c r="C9" s="2" t="s">
        <v>274</v>
      </c>
      <c r="D9" s="2" t="s">
        <v>216</v>
      </c>
      <c r="E9" s="2" t="s">
        <v>520</v>
      </c>
      <c r="F9" s="2" t="s">
        <v>514</v>
      </c>
      <c r="G9" s="2" t="s">
        <v>518</v>
      </c>
      <c r="H9" s="2"/>
    </row>
    <row r="10" spans="1:8">
      <c r="A10" s="2" t="s">
        <v>235</v>
      </c>
      <c r="B10" s="11">
        <f>'08_Calculations'!C7</f>
        <v>0.76500000000000001</v>
      </c>
      <c r="C10" s="2" t="s">
        <v>325</v>
      </c>
      <c r="D10" s="2" t="s">
        <v>216</v>
      </c>
      <c r="E10" s="2" t="s">
        <v>521</v>
      </c>
      <c r="F10" s="2" t="s">
        <v>522</v>
      </c>
      <c r="G10" s="2" t="s">
        <v>523</v>
      </c>
      <c r="H10" s="2"/>
    </row>
    <row r="11" spans="1:8">
      <c r="A11" s="2" t="s">
        <v>524</v>
      </c>
      <c r="B11" s="11">
        <f>'08_Calculations'!C10</f>
        <v>276900</v>
      </c>
      <c r="C11" s="2" t="s">
        <v>372</v>
      </c>
      <c r="D11" s="2" t="s">
        <v>216</v>
      </c>
      <c r="E11" s="2" t="s">
        <v>524</v>
      </c>
      <c r="F11" s="2" t="s">
        <v>525</v>
      </c>
      <c r="G11" s="2" t="s">
        <v>526</v>
      </c>
      <c r="H11" s="2"/>
    </row>
    <row r="12" spans="1:8">
      <c r="A12" s="2" t="s">
        <v>382</v>
      </c>
      <c r="B12" s="11">
        <f>'08_Calculations'!C11</f>
        <v>187378.05591999998</v>
      </c>
      <c r="C12" s="2" t="s">
        <v>372</v>
      </c>
      <c r="D12" s="2" t="s">
        <v>216</v>
      </c>
      <c r="E12" s="2" t="s">
        <v>527</v>
      </c>
      <c r="F12" s="2" t="s">
        <v>525</v>
      </c>
      <c r="G12" s="2" t="s">
        <v>528</v>
      </c>
      <c r="H12" s="2"/>
    </row>
    <row r="13" spans="1:8">
      <c r="A13" s="2" t="s">
        <v>385</v>
      </c>
      <c r="B13" s="11">
        <f>'08_Calculations'!C12</f>
        <v>8278.3206800000007</v>
      </c>
      <c r="C13" s="2" t="s">
        <v>372</v>
      </c>
      <c r="D13" s="2" t="s">
        <v>216</v>
      </c>
      <c r="E13" s="2" t="s">
        <v>529</v>
      </c>
      <c r="F13" s="2" t="s">
        <v>530</v>
      </c>
      <c r="G13" s="2" t="s">
        <v>528</v>
      </c>
      <c r="H13" s="2"/>
    </row>
    <row r="14" spans="1:8">
      <c r="A14" s="2" t="s">
        <v>388</v>
      </c>
      <c r="B14" s="11">
        <f>'08_Calculations'!C13</f>
        <v>464278.05591999996</v>
      </c>
      <c r="C14" s="2" t="s">
        <v>372</v>
      </c>
      <c r="D14" s="2" t="s">
        <v>216</v>
      </c>
      <c r="E14" s="2" t="s">
        <v>531</v>
      </c>
      <c r="F14" s="2" t="s">
        <v>532</v>
      </c>
      <c r="G14" s="2" t="s">
        <v>510</v>
      </c>
      <c r="H14" s="2"/>
    </row>
    <row r="15" spans="1:8">
      <c r="A15" s="2" t="s">
        <v>391</v>
      </c>
      <c r="B15" s="11">
        <f>'08_Calculations'!C14</f>
        <v>95000</v>
      </c>
      <c r="C15" s="2" t="s">
        <v>168</v>
      </c>
      <c r="D15" s="2" t="s">
        <v>216</v>
      </c>
      <c r="E15" s="2" t="s">
        <v>393</v>
      </c>
      <c r="F15" s="2" t="s">
        <v>533</v>
      </c>
      <c r="G15" s="2" t="s">
        <v>534</v>
      </c>
      <c r="H15" s="2"/>
    </row>
    <row r="16" spans="1:8">
      <c r="A16" s="2" t="s">
        <v>394</v>
      </c>
      <c r="B16" s="11">
        <f>'08_Calculations'!C15</f>
        <v>46341</v>
      </c>
      <c r="C16" s="2" t="s">
        <v>372</v>
      </c>
      <c r="D16" s="2" t="s">
        <v>216</v>
      </c>
      <c r="E16" s="2" t="s">
        <v>535</v>
      </c>
      <c r="F16" s="2" t="s">
        <v>536</v>
      </c>
      <c r="G16" s="2" t="s">
        <v>537</v>
      </c>
      <c r="H16" s="2"/>
    </row>
    <row r="17" spans="1:8">
      <c r="A17" s="2" t="s">
        <v>397</v>
      </c>
      <c r="B17" s="11">
        <f>'08_Calculations'!C16</f>
        <v>510619.05591999996</v>
      </c>
      <c r="C17" s="2" t="s">
        <v>372</v>
      </c>
      <c r="D17" s="2" t="s">
        <v>216</v>
      </c>
      <c r="E17" s="2" t="s">
        <v>538</v>
      </c>
      <c r="F17" s="2" t="s">
        <v>539</v>
      </c>
      <c r="G17" s="2" t="s">
        <v>540</v>
      </c>
      <c r="H17" s="2"/>
    </row>
    <row r="18" spans="1:8">
      <c r="A18" s="2" t="s">
        <v>400</v>
      </c>
      <c r="B18" s="11">
        <f>'08_Calculations'!C17</f>
        <v>0.89284241523076913</v>
      </c>
      <c r="C18" s="2" t="s">
        <v>314</v>
      </c>
      <c r="D18" s="2" t="s">
        <v>216</v>
      </c>
      <c r="E18" s="2" t="s">
        <v>541</v>
      </c>
      <c r="F18" s="2" t="s">
        <v>542</v>
      </c>
      <c r="G18" s="2" t="s">
        <v>543</v>
      </c>
      <c r="H18" s="2"/>
    </row>
    <row r="19" spans="1:8">
      <c r="A19" s="2" t="s">
        <v>403</v>
      </c>
      <c r="B19" s="11">
        <f>'08_Calculations'!C18</f>
        <v>0.75091037635294111</v>
      </c>
      <c r="C19" s="2" t="s">
        <v>405</v>
      </c>
      <c r="D19" s="2" t="s">
        <v>216</v>
      </c>
      <c r="E19" s="2" t="s">
        <v>544</v>
      </c>
      <c r="F19" s="2" t="s">
        <v>406</v>
      </c>
      <c r="G19" s="2" t="s">
        <v>540</v>
      </c>
      <c r="H19" s="2"/>
    </row>
    <row r="20" spans="1:8">
      <c r="A20" s="2" t="s">
        <v>414</v>
      </c>
      <c r="B20" s="2" t="str">
        <f>'08_Calculations'!C21</f>
        <v>PASS</v>
      </c>
      <c r="C20" s="2" t="s">
        <v>412</v>
      </c>
      <c r="D20" s="2" t="s">
        <v>327</v>
      </c>
      <c r="E20" s="2" t="s">
        <v>545</v>
      </c>
      <c r="F20" s="2" t="s">
        <v>546</v>
      </c>
      <c r="G20" s="2" t="s">
        <v>547</v>
      </c>
      <c r="H20" s="2"/>
    </row>
    <row r="21" spans="1:8">
      <c r="A21" s="2" t="s">
        <v>410</v>
      </c>
      <c r="B21" s="2" t="str">
        <f>'08_Calculations'!C20</f>
        <v>Ready</v>
      </c>
      <c r="C21" s="2" t="s">
        <v>412</v>
      </c>
      <c r="D21" s="2" t="s">
        <v>186</v>
      </c>
      <c r="E21" s="2" t="s">
        <v>548</v>
      </c>
      <c r="F21" s="2" t="s">
        <v>549</v>
      </c>
      <c r="G21" s="2" t="s">
        <v>547</v>
      </c>
      <c r="H21" s="2"/>
    </row>
    <row r="22" spans="1:8" ht="37.5">
      <c r="A22" s="2" t="s">
        <v>550</v>
      </c>
      <c r="B22" s="2" t="str">
        <f>'01_Setup'!B13</f>
        <v>Prepared for internal review - not externally verified</v>
      </c>
      <c r="C22" s="2"/>
      <c r="D22" s="2" t="s">
        <v>381</v>
      </c>
      <c r="E22" s="2" t="s">
        <v>551</v>
      </c>
      <c r="F22" s="2" t="s">
        <v>552</v>
      </c>
      <c r="G22" s="2" t="s">
        <v>553</v>
      </c>
      <c r="H22" s="2"/>
    </row>
    <row r="23" spans="1:8">
      <c r="A23" s="2" t="s">
        <v>554</v>
      </c>
      <c r="B23" s="2" t="str">
        <f>'01_Setup'!B14</f>
        <v>Not submitted</v>
      </c>
      <c r="C23" s="2"/>
      <c r="D23" s="2" t="s">
        <v>381</v>
      </c>
      <c r="E23" s="2" t="s">
        <v>76</v>
      </c>
      <c r="F23" s="2" t="s">
        <v>77</v>
      </c>
      <c r="G23" s="2" t="s">
        <v>553</v>
      </c>
      <c r="H23" s="2"/>
    </row>
    <row r="24" spans="1:8">
      <c r="A24" t="s">
        <v>385</v>
      </c>
      <c r="B24">
        <v>8278.3206800000007</v>
      </c>
      <c r="C24" t="s">
        <v>372</v>
      </c>
      <c r="D24" t="s">
        <v>216</v>
      </c>
      <c r="E24" t="s">
        <v>529</v>
      </c>
      <c r="F24" t="s">
        <v>555</v>
      </c>
      <c r="G24" t="s">
        <v>528</v>
      </c>
    </row>
    <row r="25" spans="1:8">
      <c r="A25" t="s">
        <v>407</v>
      </c>
      <c r="B25">
        <v>3.9889999999999999</v>
      </c>
      <c r="C25" t="s">
        <v>335</v>
      </c>
      <c r="D25" t="s">
        <v>216</v>
      </c>
      <c r="E25" t="s">
        <v>556</v>
      </c>
      <c r="F25" t="s">
        <v>557</v>
      </c>
      <c r="G25" t="s">
        <v>558</v>
      </c>
    </row>
    <row r="26" spans="1:8">
      <c r="A26" t="s">
        <v>559</v>
      </c>
      <c r="B26">
        <v>11.81</v>
      </c>
      <c r="C26" t="s">
        <v>126</v>
      </c>
      <c r="D26" t="s">
        <v>216</v>
      </c>
      <c r="E26" t="s">
        <v>560</v>
      </c>
      <c r="F26" t="s">
        <v>561</v>
      </c>
      <c r="G26" t="s">
        <v>558</v>
      </c>
    </row>
    <row r="27" spans="1:8">
      <c r="A27" t="s">
        <v>110</v>
      </c>
      <c r="B27">
        <v>520200</v>
      </c>
      <c r="C27" t="s">
        <v>274</v>
      </c>
      <c r="D27" t="s">
        <v>100</v>
      </c>
      <c r="E27" t="s">
        <v>562</v>
      </c>
      <c r="F27" t="s">
        <v>563</v>
      </c>
      <c r="G27" t="s">
        <v>523</v>
      </c>
    </row>
    <row r="28" spans="1:8">
      <c r="A28" t="s">
        <v>417</v>
      </c>
      <c r="B28">
        <v>-200</v>
      </c>
      <c r="C28" t="s">
        <v>274</v>
      </c>
      <c r="D28" t="s">
        <v>216</v>
      </c>
      <c r="E28" t="s">
        <v>564</v>
      </c>
      <c r="F28" t="s">
        <v>565</v>
      </c>
      <c r="G28" t="s">
        <v>566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"/>
  <sheetViews>
    <sheetView workbookViewId="0"/>
  </sheetViews>
  <sheetFormatPr defaultRowHeight="14"/>
  <cols>
    <col min="1" max="2" width="20" customWidth="1"/>
    <col min="3" max="3" width="44" customWidth="1"/>
    <col min="4" max="5" width="24" customWidth="1"/>
    <col min="6" max="6" width="14" customWidth="1"/>
    <col min="7" max="8" width="18" customWidth="1"/>
    <col min="9" max="9" width="14" customWidth="1"/>
    <col min="10" max="10" width="34" customWidth="1"/>
  </cols>
  <sheetData>
    <row r="1" spans="1:10" ht="28" customHeight="1">
      <c r="A1" s="14" t="s">
        <v>567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4" customHeight="1">
      <c r="A2" s="17" t="s">
        <v>568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24" customHeight="1">
      <c r="A3" s="1" t="s">
        <v>182</v>
      </c>
      <c r="B3" s="1" t="s">
        <v>569</v>
      </c>
      <c r="C3" s="1" t="s">
        <v>570</v>
      </c>
      <c r="D3" s="1" t="s">
        <v>85</v>
      </c>
      <c r="E3" s="1" t="s">
        <v>571</v>
      </c>
      <c r="F3" s="1" t="s">
        <v>8</v>
      </c>
      <c r="G3" s="1" t="s">
        <v>92</v>
      </c>
      <c r="H3" s="1" t="s">
        <v>572</v>
      </c>
      <c r="I3" s="1" t="s">
        <v>88</v>
      </c>
      <c r="J3" s="1" t="s">
        <v>41</v>
      </c>
    </row>
    <row r="4" spans="1:10">
      <c r="A4" s="2" t="s">
        <v>238</v>
      </c>
      <c r="B4" s="2" t="s">
        <v>573</v>
      </c>
      <c r="C4" s="2" t="s">
        <v>574</v>
      </c>
      <c r="D4" s="2" t="s">
        <v>575</v>
      </c>
      <c r="E4" s="2" t="s">
        <v>576</v>
      </c>
      <c r="F4" s="2" t="s">
        <v>101</v>
      </c>
      <c r="G4" s="2" t="s">
        <v>66</v>
      </c>
      <c r="H4" s="2" t="s">
        <v>577</v>
      </c>
      <c r="I4" s="2" t="s">
        <v>169</v>
      </c>
      <c r="J4" s="2" t="s">
        <v>578</v>
      </c>
    </row>
    <row r="5" spans="1:10">
      <c r="A5" s="2" t="s">
        <v>241</v>
      </c>
      <c r="B5" s="2" t="s">
        <v>573</v>
      </c>
      <c r="C5" s="2" t="s">
        <v>579</v>
      </c>
      <c r="D5" s="2" t="s">
        <v>575</v>
      </c>
      <c r="E5" s="2" t="s">
        <v>576</v>
      </c>
      <c r="F5" s="2" t="s">
        <v>101</v>
      </c>
      <c r="G5" s="2" t="s">
        <v>66</v>
      </c>
      <c r="H5" s="2" t="s">
        <v>577</v>
      </c>
      <c r="I5" s="2" t="s">
        <v>169</v>
      </c>
      <c r="J5" s="2" t="s">
        <v>578</v>
      </c>
    </row>
    <row r="6" spans="1:10">
      <c r="A6" s="2" t="s">
        <v>243</v>
      </c>
      <c r="B6" s="2" t="s">
        <v>573</v>
      </c>
      <c r="C6" s="2" t="s">
        <v>580</v>
      </c>
      <c r="D6" s="2" t="s">
        <v>575</v>
      </c>
      <c r="E6" s="2" t="s">
        <v>576</v>
      </c>
      <c r="F6" s="2" t="s">
        <v>101</v>
      </c>
      <c r="G6" s="2" t="s">
        <v>66</v>
      </c>
      <c r="H6" s="2" t="s">
        <v>577</v>
      </c>
      <c r="I6" s="2" t="s">
        <v>169</v>
      </c>
      <c r="J6" s="2" t="s">
        <v>578</v>
      </c>
    </row>
    <row r="7" spans="1:10">
      <c r="A7" s="2" t="s">
        <v>257</v>
      </c>
      <c r="B7" s="2" t="s">
        <v>581</v>
      </c>
      <c r="C7" s="2" t="s">
        <v>582</v>
      </c>
      <c r="D7" s="2" t="s">
        <v>123</v>
      </c>
      <c r="E7" s="2" t="s">
        <v>583</v>
      </c>
      <c r="F7" s="2" t="s">
        <v>101</v>
      </c>
      <c r="G7" s="2" t="s">
        <v>130</v>
      </c>
      <c r="H7" s="2" t="s">
        <v>577</v>
      </c>
      <c r="I7" s="2" t="s">
        <v>169</v>
      </c>
      <c r="J7" s="2" t="s">
        <v>578</v>
      </c>
    </row>
    <row r="8" spans="1:10">
      <c r="A8" s="2" t="s">
        <v>258</v>
      </c>
      <c r="B8" s="2" t="s">
        <v>581</v>
      </c>
      <c r="C8" s="2" t="s">
        <v>584</v>
      </c>
      <c r="D8" s="2" t="s">
        <v>123</v>
      </c>
      <c r="E8" s="2" t="s">
        <v>583</v>
      </c>
      <c r="F8" s="2" t="s">
        <v>101</v>
      </c>
      <c r="G8" s="2" t="s">
        <v>130</v>
      </c>
      <c r="H8" s="2" t="s">
        <v>577</v>
      </c>
      <c r="I8" s="2" t="s">
        <v>169</v>
      </c>
      <c r="J8" s="2" t="s">
        <v>578</v>
      </c>
    </row>
    <row r="9" spans="1:10">
      <c r="A9" s="2" t="s">
        <v>259</v>
      </c>
      <c r="B9" s="2" t="s">
        <v>581</v>
      </c>
      <c r="C9" s="2" t="s">
        <v>585</v>
      </c>
      <c r="D9" s="2" t="s">
        <v>123</v>
      </c>
      <c r="E9" s="2" t="s">
        <v>583</v>
      </c>
      <c r="F9" s="2" t="s">
        <v>101</v>
      </c>
      <c r="G9" s="2" t="s">
        <v>130</v>
      </c>
      <c r="H9" s="2" t="s">
        <v>577</v>
      </c>
      <c r="I9" s="2" t="s">
        <v>169</v>
      </c>
      <c r="J9" s="2" t="s">
        <v>578</v>
      </c>
    </row>
    <row r="10" spans="1:10">
      <c r="A10" s="2" t="s">
        <v>275</v>
      </c>
      <c r="B10" s="2" t="s">
        <v>586</v>
      </c>
      <c r="C10" s="2" t="s">
        <v>587</v>
      </c>
      <c r="D10" s="2" t="s">
        <v>588</v>
      </c>
      <c r="E10" s="2" t="s">
        <v>589</v>
      </c>
      <c r="F10" s="2" t="s">
        <v>101</v>
      </c>
      <c r="G10" s="2" t="s">
        <v>140</v>
      </c>
      <c r="H10" s="2" t="s">
        <v>577</v>
      </c>
      <c r="I10" s="2" t="s">
        <v>202</v>
      </c>
      <c r="J10" s="2" t="s">
        <v>578</v>
      </c>
    </row>
    <row r="11" spans="1:10">
      <c r="A11" s="2" t="s">
        <v>277</v>
      </c>
      <c r="B11" s="2" t="s">
        <v>586</v>
      </c>
      <c r="C11" s="2" t="s">
        <v>590</v>
      </c>
      <c r="D11" s="2" t="s">
        <v>588</v>
      </c>
      <c r="E11" s="2" t="s">
        <v>589</v>
      </c>
      <c r="F11" s="2" t="s">
        <v>101</v>
      </c>
      <c r="G11" s="2" t="s">
        <v>140</v>
      </c>
      <c r="H11" s="2" t="s">
        <v>577</v>
      </c>
      <c r="I11" s="2" t="s">
        <v>202</v>
      </c>
      <c r="J11" s="2" t="s">
        <v>578</v>
      </c>
    </row>
    <row r="12" spans="1:10">
      <c r="A12" s="2" t="s">
        <v>279</v>
      </c>
      <c r="B12" s="2" t="s">
        <v>591</v>
      </c>
      <c r="C12" s="2" t="s">
        <v>592</v>
      </c>
      <c r="D12" s="2" t="s">
        <v>593</v>
      </c>
      <c r="E12" s="2" t="s">
        <v>589</v>
      </c>
      <c r="F12" s="2" t="s">
        <v>101</v>
      </c>
      <c r="G12" s="2" t="s">
        <v>140</v>
      </c>
      <c r="H12" s="2" t="s">
        <v>577</v>
      </c>
      <c r="I12" s="2" t="s">
        <v>202</v>
      </c>
      <c r="J12" s="2" t="s">
        <v>594</v>
      </c>
    </row>
    <row r="13" spans="1:10">
      <c r="A13" s="2" t="s">
        <v>281</v>
      </c>
      <c r="B13" s="2" t="s">
        <v>591</v>
      </c>
      <c r="C13" s="2" t="s">
        <v>595</v>
      </c>
      <c r="D13" s="2" t="s">
        <v>593</v>
      </c>
      <c r="E13" s="2" t="s">
        <v>589</v>
      </c>
      <c r="F13" s="2" t="s">
        <v>101</v>
      </c>
      <c r="G13" s="2" t="s">
        <v>140</v>
      </c>
      <c r="H13" s="2" t="s">
        <v>577</v>
      </c>
      <c r="I13" s="2" t="s">
        <v>202</v>
      </c>
      <c r="J13" s="2" t="s">
        <v>594</v>
      </c>
    </row>
    <row r="14" spans="1:10">
      <c r="A14" s="2" t="s">
        <v>293</v>
      </c>
      <c r="B14" s="2" t="s">
        <v>596</v>
      </c>
      <c r="C14" s="2" t="s">
        <v>597</v>
      </c>
      <c r="D14" s="2" t="s">
        <v>598</v>
      </c>
      <c r="E14" s="2" t="s">
        <v>599</v>
      </c>
      <c r="F14" s="2" t="s">
        <v>101</v>
      </c>
      <c r="G14" s="2" t="s">
        <v>172</v>
      </c>
      <c r="H14" s="2" t="s">
        <v>577</v>
      </c>
      <c r="I14" s="2" t="s">
        <v>169</v>
      </c>
      <c r="J14" s="2" t="s">
        <v>578</v>
      </c>
    </row>
    <row r="15" spans="1:10">
      <c r="A15" s="2" t="s">
        <v>294</v>
      </c>
      <c r="B15" s="2" t="s">
        <v>596</v>
      </c>
      <c r="C15" s="2" t="s">
        <v>600</v>
      </c>
      <c r="D15" s="2" t="s">
        <v>598</v>
      </c>
      <c r="E15" s="2" t="s">
        <v>599</v>
      </c>
      <c r="F15" s="2" t="s">
        <v>101</v>
      </c>
      <c r="G15" s="2" t="s">
        <v>172</v>
      </c>
      <c r="H15" s="2" t="s">
        <v>577</v>
      </c>
      <c r="I15" s="2" t="s">
        <v>169</v>
      </c>
      <c r="J15" s="2" t="s">
        <v>578</v>
      </c>
    </row>
    <row r="16" spans="1:10">
      <c r="A16" s="2" t="s">
        <v>295</v>
      </c>
      <c r="B16" s="2" t="s">
        <v>596</v>
      </c>
      <c r="C16" s="2" t="s">
        <v>601</v>
      </c>
      <c r="D16" s="2" t="s">
        <v>598</v>
      </c>
      <c r="E16" s="2" t="s">
        <v>599</v>
      </c>
      <c r="F16" s="2" t="s">
        <v>101</v>
      </c>
      <c r="G16" s="2" t="s">
        <v>172</v>
      </c>
      <c r="H16" s="2" t="s">
        <v>577</v>
      </c>
      <c r="I16" s="2" t="s">
        <v>169</v>
      </c>
      <c r="J16" s="2" t="s">
        <v>578</v>
      </c>
    </row>
    <row r="17" spans="1:10">
      <c r="A17" s="2" t="s">
        <v>602</v>
      </c>
      <c r="B17" s="2" t="s">
        <v>603</v>
      </c>
      <c r="C17" s="2" t="s">
        <v>604</v>
      </c>
      <c r="D17" s="2" t="s">
        <v>605</v>
      </c>
      <c r="E17" s="2" t="s">
        <v>606</v>
      </c>
      <c r="F17" s="2" t="s">
        <v>101</v>
      </c>
      <c r="G17" s="2" t="s">
        <v>58</v>
      </c>
      <c r="H17" s="2" t="s">
        <v>577</v>
      </c>
      <c r="I17" s="2" t="s">
        <v>607</v>
      </c>
      <c r="J17" s="2" t="s">
        <v>608</v>
      </c>
    </row>
    <row r="18" spans="1:10">
      <c r="A18" s="2" t="s">
        <v>609</v>
      </c>
      <c r="B18" s="2" t="s">
        <v>610</v>
      </c>
      <c r="C18" s="2" t="s">
        <v>611</v>
      </c>
      <c r="D18" s="2" t="s">
        <v>577</v>
      </c>
      <c r="E18" s="2" t="s">
        <v>612</v>
      </c>
      <c r="F18" s="2" t="s">
        <v>101</v>
      </c>
      <c r="G18" s="2" t="s">
        <v>187</v>
      </c>
      <c r="H18" s="2" t="s">
        <v>577</v>
      </c>
      <c r="I18" s="2" t="s">
        <v>202</v>
      </c>
      <c r="J18" s="2" t="s">
        <v>578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/>
  </sheetViews>
  <sheetFormatPr defaultRowHeight="14"/>
  <cols>
    <col min="1" max="1" width="34" customWidth="1"/>
    <col min="2" max="2" width="50" customWidth="1"/>
    <col min="3" max="3" width="72" customWidth="1"/>
    <col min="4" max="4" width="40" customWidth="1"/>
    <col min="5" max="5" width="24" customWidth="1"/>
    <col min="6" max="6" width="52" customWidth="1"/>
    <col min="7" max="7" width="18" customWidth="1"/>
    <col min="8" max="8" width="16" customWidth="1"/>
  </cols>
  <sheetData>
    <row r="1" spans="1:8" ht="28" customHeight="1">
      <c r="A1" s="14" t="s">
        <v>613</v>
      </c>
      <c r="B1" s="15"/>
      <c r="C1" s="15"/>
      <c r="D1" s="15"/>
      <c r="E1" s="15"/>
      <c r="F1" s="15"/>
      <c r="G1" s="15"/>
      <c r="H1" s="15"/>
    </row>
    <row r="2" spans="1:8" ht="34" customHeight="1">
      <c r="A2" s="17" t="s">
        <v>614</v>
      </c>
      <c r="B2" s="15"/>
      <c r="C2" s="15"/>
      <c r="D2" s="15"/>
      <c r="E2" s="15"/>
      <c r="F2" s="15"/>
      <c r="G2" s="15"/>
      <c r="H2" s="15"/>
    </row>
    <row r="3" spans="1:8" ht="24" customHeight="1">
      <c r="A3" s="1" t="s">
        <v>615</v>
      </c>
      <c r="B3" s="1" t="s">
        <v>616</v>
      </c>
      <c r="C3" s="1" t="s">
        <v>617</v>
      </c>
      <c r="D3" s="1" t="s">
        <v>618</v>
      </c>
      <c r="E3" s="1" t="s">
        <v>619</v>
      </c>
      <c r="F3" s="1" t="s">
        <v>41</v>
      </c>
      <c r="G3" s="1" t="s">
        <v>8</v>
      </c>
      <c r="H3" s="1" t="s">
        <v>620</v>
      </c>
    </row>
    <row r="4" spans="1:8" ht="25">
      <c r="A4" s="2" t="s">
        <v>621</v>
      </c>
      <c r="B4" s="2" t="s">
        <v>622</v>
      </c>
      <c r="C4" s="2" t="s">
        <v>623</v>
      </c>
      <c r="D4" s="2" t="s">
        <v>624</v>
      </c>
      <c r="E4" s="2" t="s">
        <v>625</v>
      </c>
      <c r="F4" s="2" t="s">
        <v>626</v>
      </c>
      <c r="G4" s="2" t="s">
        <v>627</v>
      </c>
      <c r="H4" s="6" t="s">
        <v>628</v>
      </c>
    </row>
    <row r="5" spans="1:8" ht="25">
      <c r="A5" s="2" t="s">
        <v>629</v>
      </c>
      <c r="B5" s="2" t="s">
        <v>630</v>
      </c>
      <c r="C5" s="2" t="s">
        <v>623</v>
      </c>
      <c r="D5" s="2" t="s">
        <v>631</v>
      </c>
      <c r="E5" s="2" t="s">
        <v>632</v>
      </c>
      <c r="F5" s="2" t="s">
        <v>633</v>
      </c>
      <c r="G5" s="2" t="s">
        <v>627</v>
      </c>
      <c r="H5" s="6" t="s">
        <v>628</v>
      </c>
    </row>
    <row r="6" spans="1:8" ht="25">
      <c r="A6" s="2" t="s">
        <v>634</v>
      </c>
      <c r="B6" s="2" t="s">
        <v>635</v>
      </c>
      <c r="C6" s="2" t="s">
        <v>623</v>
      </c>
      <c r="D6" s="2" t="s">
        <v>636</v>
      </c>
      <c r="E6" s="2" t="s">
        <v>637</v>
      </c>
      <c r="F6" s="2" t="s">
        <v>638</v>
      </c>
      <c r="G6" s="2" t="s">
        <v>627</v>
      </c>
      <c r="H6" s="6" t="s">
        <v>628</v>
      </c>
    </row>
    <row r="7" spans="1:8" ht="25">
      <c r="A7" s="2" t="s">
        <v>639</v>
      </c>
      <c r="B7" s="2" t="s">
        <v>640</v>
      </c>
      <c r="C7" s="2" t="s">
        <v>623</v>
      </c>
      <c r="D7" s="2" t="s">
        <v>641</v>
      </c>
      <c r="E7" s="2" t="s">
        <v>642</v>
      </c>
      <c r="F7" s="2" t="s">
        <v>643</v>
      </c>
      <c r="G7" s="2" t="s">
        <v>627</v>
      </c>
      <c r="H7" s="6" t="s">
        <v>628</v>
      </c>
    </row>
    <row r="8" spans="1:8" ht="25">
      <c r="A8" s="2" t="s">
        <v>644</v>
      </c>
      <c r="B8" s="2" t="s">
        <v>645</v>
      </c>
      <c r="C8" s="2" t="s">
        <v>623</v>
      </c>
      <c r="D8" s="2" t="s">
        <v>646</v>
      </c>
      <c r="E8" s="2" t="s">
        <v>647</v>
      </c>
      <c r="F8" s="2" t="s">
        <v>648</v>
      </c>
      <c r="G8" s="2" t="s">
        <v>627</v>
      </c>
      <c r="H8" s="6" t="s">
        <v>628</v>
      </c>
    </row>
    <row r="9" spans="1:8" ht="25">
      <c r="A9" s="2" t="s">
        <v>649</v>
      </c>
      <c r="B9" s="2" t="s">
        <v>650</v>
      </c>
      <c r="C9" s="2" t="s">
        <v>623</v>
      </c>
      <c r="D9" s="2" t="s">
        <v>651</v>
      </c>
      <c r="E9" s="2" t="s">
        <v>652</v>
      </c>
      <c r="F9" s="2" t="s">
        <v>653</v>
      </c>
      <c r="G9" s="2" t="s">
        <v>627</v>
      </c>
      <c r="H9" s="6" t="s">
        <v>628</v>
      </c>
    </row>
    <row r="10" spans="1:8" ht="25">
      <c r="A10" s="2" t="s">
        <v>654</v>
      </c>
      <c r="B10" s="2" t="s">
        <v>655</v>
      </c>
      <c r="C10" s="2" t="s">
        <v>656</v>
      </c>
      <c r="D10" s="2" t="s">
        <v>657</v>
      </c>
      <c r="E10" s="2" t="s">
        <v>658</v>
      </c>
      <c r="F10" s="2" t="s">
        <v>659</v>
      </c>
      <c r="G10" s="2" t="s">
        <v>627</v>
      </c>
      <c r="H10" s="6" t="s">
        <v>628</v>
      </c>
    </row>
    <row r="11" spans="1:8">
      <c r="A11" s="2" t="s">
        <v>660</v>
      </c>
      <c r="B11" s="2" t="s">
        <v>661</v>
      </c>
      <c r="C11" s="2" t="s">
        <v>662</v>
      </c>
      <c r="D11" s="2" t="s">
        <v>663</v>
      </c>
      <c r="E11" s="2" t="s">
        <v>664</v>
      </c>
      <c r="F11" s="2" t="s">
        <v>665</v>
      </c>
      <c r="G11" s="2" t="s">
        <v>666</v>
      </c>
      <c r="H11" s="6" t="s">
        <v>628</v>
      </c>
    </row>
    <row r="12" spans="1:8">
      <c r="A12" s="2" t="s">
        <v>667</v>
      </c>
      <c r="B12" s="2" t="s">
        <v>668</v>
      </c>
      <c r="C12" s="2" t="s">
        <v>669</v>
      </c>
      <c r="D12" s="2" t="s">
        <v>670</v>
      </c>
      <c r="E12" s="2" t="s">
        <v>671</v>
      </c>
      <c r="F12" s="2" t="s">
        <v>665</v>
      </c>
      <c r="G12" s="2" t="s">
        <v>666</v>
      </c>
      <c r="H12" s="6" t="s">
        <v>628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5"/>
  <sheetViews>
    <sheetView workbookViewId="0"/>
  </sheetViews>
  <sheetFormatPr defaultRowHeight="14"/>
  <cols>
    <col min="1" max="1" width="24" customWidth="1"/>
    <col min="2" max="2" width="18" customWidth="1"/>
    <col min="3" max="3" width="14" customWidth="1"/>
    <col min="4" max="4" width="42" customWidth="1"/>
    <col min="5" max="5" width="4" customWidth="1"/>
    <col min="6" max="6" width="24" customWidth="1"/>
    <col min="7" max="7" width="18" customWidth="1"/>
    <col min="8" max="8" width="14" customWidth="1"/>
    <col min="9" max="9" width="50" customWidth="1"/>
    <col min="10" max="12" width="14" customWidth="1"/>
  </cols>
  <sheetData>
    <row r="1" spans="1:12" ht="28" customHeight="1">
      <c r="A1" s="14" t="s">
        <v>672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4" customHeight="1">
      <c r="A2" s="17" t="s">
        <v>673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>
      <c r="A4" s="20" t="str">
        <f>'10_Report_Outputs'!B7</f>
        <v>CEM II/A-L 42.5N</v>
      </c>
      <c r="B4" s="15"/>
      <c r="C4" s="15"/>
      <c r="D4" s="20">
        <f>'10_Report_Outputs'!B8</f>
        <v>520000</v>
      </c>
      <c r="E4" s="15"/>
      <c r="F4" s="15"/>
      <c r="G4" s="20">
        <f>'10_Report_Outputs'!B9</f>
        <v>680000</v>
      </c>
      <c r="H4" s="15"/>
      <c r="I4" s="15"/>
      <c r="J4" s="20">
        <f>'10_Report_Outputs'!B10</f>
        <v>0.76500000000000001</v>
      </c>
      <c r="K4" s="15"/>
      <c r="L4" s="15"/>
    </row>
    <row r="5" spans="1:12">
      <c r="A5" s="15"/>
      <c r="B5" s="19"/>
      <c r="C5" s="15"/>
      <c r="D5" s="15"/>
      <c r="E5" s="19"/>
      <c r="F5" s="15"/>
      <c r="G5" s="15"/>
      <c r="H5" s="19"/>
      <c r="I5" s="15"/>
      <c r="J5" s="15"/>
      <c r="K5" s="19"/>
      <c r="L5" s="15"/>
    </row>
    <row r="6" spans="1:12">
      <c r="A6" s="15"/>
      <c r="B6" s="19"/>
      <c r="C6" s="15"/>
      <c r="D6" s="15"/>
      <c r="E6" s="19"/>
      <c r="F6" s="15"/>
      <c r="G6" s="15"/>
      <c r="H6" s="19"/>
      <c r="I6" s="15"/>
      <c r="J6" s="15"/>
      <c r="K6" s="19"/>
      <c r="L6" s="15"/>
    </row>
    <row r="7" spans="1:1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9" spans="1:12">
      <c r="A9" s="20">
        <f>'10_Report_Outputs'!B14</f>
        <v>464278.05591999996</v>
      </c>
      <c r="B9" s="15"/>
      <c r="C9" s="15"/>
      <c r="D9" s="20">
        <f>'10_Report_Outputs'!B16</f>
        <v>46341</v>
      </c>
      <c r="E9" s="15"/>
      <c r="F9" s="15"/>
      <c r="G9" s="20">
        <f>'10_Report_Outputs'!B17</f>
        <v>510619.05591999996</v>
      </c>
      <c r="H9" s="15"/>
      <c r="I9" s="15"/>
      <c r="J9" s="20">
        <f>'10_Report_Outputs'!B19</f>
        <v>0.75091037635294111</v>
      </c>
      <c r="K9" s="15"/>
      <c r="L9" s="15"/>
    </row>
    <row r="10" spans="1:12">
      <c r="A10" s="15"/>
      <c r="B10" s="19"/>
      <c r="C10" s="15"/>
      <c r="D10" s="15"/>
      <c r="E10" s="19"/>
      <c r="F10" s="15"/>
      <c r="G10" s="15"/>
      <c r="H10" s="19"/>
      <c r="I10" s="15"/>
      <c r="J10" s="15"/>
      <c r="K10" s="19"/>
      <c r="L10" s="15"/>
    </row>
    <row r="11" spans="1:12">
      <c r="A11" s="15"/>
      <c r="B11" s="19"/>
      <c r="C11" s="15"/>
      <c r="D11" s="15"/>
      <c r="E11" s="19"/>
      <c r="F11" s="15"/>
      <c r="G11" s="15"/>
      <c r="H11" s="19"/>
      <c r="I11" s="15"/>
      <c r="J11" s="15"/>
      <c r="K11" s="19"/>
      <c r="L11" s="15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4" spans="1:12" ht="24" customHeight="1">
      <c r="A14" s="1" t="s">
        <v>359</v>
      </c>
      <c r="B14" s="1" t="s">
        <v>3</v>
      </c>
      <c r="C14" s="1" t="s">
        <v>39</v>
      </c>
      <c r="D14" s="1" t="s">
        <v>674</v>
      </c>
      <c r="F14" s="1" t="s">
        <v>675</v>
      </c>
      <c r="G14" s="1" t="s">
        <v>372</v>
      </c>
      <c r="H14" s="1" t="s">
        <v>676</v>
      </c>
      <c r="I14" s="1" t="s">
        <v>677</v>
      </c>
    </row>
    <row r="15" spans="1:12">
      <c r="A15" s="2" t="s">
        <v>524</v>
      </c>
      <c r="B15" s="11">
        <f>'08_Calculations'!C10</f>
        <v>276900</v>
      </c>
      <c r="C15" s="2" t="s">
        <v>372</v>
      </c>
      <c r="D15" s="2" t="s">
        <v>678</v>
      </c>
      <c r="F15" s="2" t="s">
        <v>524</v>
      </c>
      <c r="G15" s="7">
        <f>'08_Calculations'!C10</f>
        <v>276900</v>
      </c>
      <c r="H15" s="13">
        <f>G15/'08_Calculations'!C16</f>
        <v>0.54228293439049136</v>
      </c>
      <c r="I15" s="5" t="str">
        <f>REPT("█",ROUND(H15*50,0))</f>
        <v>███████████████████████████</v>
      </c>
    </row>
    <row r="16" spans="1:12">
      <c r="A16" s="2" t="s">
        <v>382</v>
      </c>
      <c r="B16" s="11">
        <f>'08_Calculations'!C11</f>
        <v>187378.05591999998</v>
      </c>
      <c r="C16" s="2" t="s">
        <v>372</v>
      </c>
      <c r="D16" s="2" t="s">
        <v>679</v>
      </c>
      <c r="F16" s="2" t="s">
        <v>382</v>
      </c>
      <c r="G16" s="7">
        <f>'08_Calculations'!C11</f>
        <v>187378.05591999998</v>
      </c>
      <c r="H16" s="13">
        <f>G16/'08_Calculations'!C16</f>
        <v>0.36696252078253228</v>
      </c>
      <c r="I16" s="5" t="str">
        <f>REPT("█",ROUND(H16*50,0))</f>
        <v>██████████████████</v>
      </c>
    </row>
    <row r="17" spans="1:12">
      <c r="A17" s="2" t="s">
        <v>394</v>
      </c>
      <c r="B17" s="11">
        <f>'08_Calculations'!C15</f>
        <v>46341</v>
      </c>
      <c r="C17" s="2" t="s">
        <v>372</v>
      </c>
      <c r="D17" s="2" t="s">
        <v>393</v>
      </c>
      <c r="F17" s="2" t="s">
        <v>394</v>
      </c>
      <c r="G17" s="7">
        <f>'08_Calculations'!C15</f>
        <v>46341</v>
      </c>
      <c r="H17" s="13">
        <f>G17/'08_Calculations'!C16</f>
        <v>9.0754544826976397E-2</v>
      </c>
      <c r="I17" s="5" t="str">
        <f>REPT("█",ROUND(H17*50,0))</f>
        <v>█████</v>
      </c>
    </row>
    <row r="18" spans="1:12">
      <c r="A18" s="2" t="s">
        <v>397</v>
      </c>
      <c r="B18" s="11">
        <f>'08_Calculations'!C16</f>
        <v>510619.05591999996</v>
      </c>
      <c r="C18" s="2" t="s">
        <v>372</v>
      </c>
      <c r="D18" s="2" t="s">
        <v>680</v>
      </c>
    </row>
    <row r="19" spans="1:12">
      <c r="A19" s="2" t="s">
        <v>681</v>
      </c>
      <c r="B19" s="11">
        <f>'08_Calculations'!C18</f>
        <v>0.75091037635294111</v>
      </c>
      <c r="C19" s="2" t="s">
        <v>405</v>
      </c>
      <c r="D19" s="2" t="s">
        <v>682</v>
      </c>
    </row>
    <row r="20" spans="1:12">
      <c r="A20" s="2" t="s">
        <v>683</v>
      </c>
      <c r="B20" s="2" t="str">
        <f>'08_Calculations'!C21</f>
        <v>PASS</v>
      </c>
      <c r="C20" s="2" t="s">
        <v>412</v>
      </c>
      <c r="D20" s="2" t="s">
        <v>546</v>
      </c>
    </row>
    <row r="23" spans="1:12" ht="48" customHeight="1">
      <c r="A23" s="18" t="s">
        <v>684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5"/>
    </row>
    <row r="25" spans="1:1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</sheetData>
  <mergeCells count="11">
    <mergeCell ref="A2:L2"/>
    <mergeCell ref="A23:L25"/>
    <mergeCell ref="A1:L1"/>
    <mergeCell ref="D9:F12"/>
    <mergeCell ref="J4:L7"/>
    <mergeCell ref="J9:L12"/>
    <mergeCell ref="A4:C7"/>
    <mergeCell ref="G9:I12"/>
    <mergeCell ref="D4:F7"/>
    <mergeCell ref="A9:C12"/>
    <mergeCell ref="G4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00_README_Control</vt:lpstr>
      <vt:lpstr>01_Setup</vt:lpstr>
      <vt:lpstr>02_DCS_Boundary_Map</vt:lpstr>
      <vt:lpstr>03_Production_Input</vt:lpstr>
      <vt:lpstr>04_Raw_Material_Input</vt:lpstr>
      <vt:lpstr>05_Kiln_Fuel_Input</vt:lpstr>
      <vt:lpstr>06_Electricity_Input</vt:lpstr>
      <vt:lpstr>07_Constants_EF_NCV</vt:lpstr>
      <vt:lpstr>08_Calculations</vt:lpstr>
      <vt:lpstr>09_QAQC_Checks</vt:lpstr>
      <vt:lpstr>10_Report_Outputs</vt:lpstr>
      <vt:lpstr>11_Evidence_Register</vt:lpstr>
      <vt:lpstr>12_Regulatory_Refs</vt:lpstr>
      <vt:lpstr>13_Dashboard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2026-05-19T10:10:56Z</dcterms:created>
  <dcterms:modified xsi:type="dcterms:W3CDTF">2026-05-19T12:20:21Z</dcterms:modified>
</cp:coreProperties>
</file>